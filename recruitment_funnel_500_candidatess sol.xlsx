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hd.shahrukh.FML\Downloads\"/>
    </mc:Choice>
  </mc:AlternateContent>
  <xr:revisionPtr revIDLastSave="0" documentId="8_{EF85ADAC-50BF-4C14-81B4-DFC5F6599B2B}" xr6:coauthVersionLast="47" xr6:coauthVersionMax="47" xr10:uidLastSave="{00000000-0000-0000-0000-000000000000}"/>
  <bookViews>
    <workbookView xWindow="-120" yWindow="-120" windowWidth="20730" windowHeight="11040" firstSheet="2" activeTab="2" xr2:uid="{00000000-000D-0000-FFFF-FFFF00000000}"/>
  </bookViews>
  <sheets>
    <sheet name="Sheet1" sheetId="4" r:id="rId1"/>
    <sheet name="Candidate_Data" sheetId="1" r:id="rId2"/>
    <sheet name="Funnel_Summary" sheetId="2" r:id="rId3"/>
    <sheet name="Source_Analysis" sheetId="3" r:id="rId4"/>
  </sheets>
  <definedNames>
    <definedName name="_xlchart.v2.0" hidden="1">Source_Analysis!$A$9:$A$16</definedName>
    <definedName name="_xlchart.v2.1" hidden="1">Source_Analysis!$B$8</definedName>
    <definedName name="_xlchart.v2.2" hidden="1">Source_Analysis!$B$9:$B$16</definedName>
    <definedName name="_xlchart.v2.3" hidden="1">Funnel_Summary!$A$3:$A$10</definedName>
    <definedName name="_xlchart.v2.4" hidden="1">Funnel_Summary!$B$2</definedName>
    <definedName name="_xlchart.v2.5" hidden="1">Funnel_Summary!$B$3:$B$10</definedName>
  </definedNames>
  <calcPr calcId="191029"/>
  <pivotCaches>
    <pivotCache cacheId="28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3" l="1"/>
  <c r="G21" i="3"/>
  <c r="G22" i="3"/>
  <c r="G23" i="3"/>
  <c r="G24" i="3"/>
  <c r="G25" i="3"/>
  <c r="G26" i="3"/>
  <c r="B10" i="3"/>
  <c r="C10" i="3"/>
  <c r="B11" i="3"/>
  <c r="B25" i="3" s="1"/>
  <c r="C11" i="3"/>
  <c r="B12" i="3"/>
  <c r="B27" i="3" s="1"/>
  <c r="C12" i="3"/>
  <c r="B13" i="3"/>
  <c r="C13" i="3"/>
  <c r="B14" i="3"/>
  <c r="C14" i="3"/>
  <c r="B15" i="3"/>
  <c r="C15" i="3"/>
  <c r="B16" i="3"/>
  <c r="C16" i="3"/>
  <c r="B24" i="3"/>
  <c r="B30" i="3" l="1"/>
  <c r="B29" i="3"/>
  <c r="B28" i="3"/>
  <c r="B26" i="3"/>
</calcChain>
</file>

<file path=xl/sharedStrings.xml><?xml version="1.0" encoding="utf-8"?>
<sst xmlns="http://schemas.openxmlformats.org/spreadsheetml/2006/main" count="5565" uniqueCount="542">
  <si>
    <t>Candidate_ID</t>
  </si>
  <si>
    <t>Source</t>
  </si>
  <si>
    <t>Job_Role</t>
  </si>
  <si>
    <t>Experience</t>
  </si>
  <si>
    <t>Location</t>
  </si>
  <si>
    <t>Screened</t>
  </si>
  <si>
    <t>Shortlisted</t>
  </si>
  <si>
    <t>Interviewed</t>
  </si>
  <si>
    <t>Selected</t>
  </si>
  <si>
    <t>Offer_Made</t>
  </si>
  <si>
    <t>Offer_Accepted</t>
  </si>
  <si>
    <t>Joined</t>
  </si>
  <si>
    <t>C001</t>
  </si>
  <si>
    <t>Referral</t>
  </si>
  <si>
    <t>Data Analyst</t>
  </si>
  <si>
    <t>Delhi</t>
  </si>
  <si>
    <t>Yes</t>
  </si>
  <si>
    <t>No</t>
  </si>
  <si>
    <t>C002</t>
  </si>
  <si>
    <t>Software Engineer</t>
  </si>
  <si>
    <t>Pune</t>
  </si>
  <si>
    <t>C003</t>
  </si>
  <si>
    <t>Naukri</t>
  </si>
  <si>
    <t>Bengaluru</t>
  </si>
  <si>
    <t>C004</t>
  </si>
  <si>
    <t>Walk-in</t>
  </si>
  <si>
    <t>C005</t>
  </si>
  <si>
    <t>Noida</t>
  </si>
  <si>
    <t>C006</t>
  </si>
  <si>
    <t>Business Analyst</t>
  </si>
  <si>
    <t>Gurugram</t>
  </si>
  <si>
    <t>C007</t>
  </si>
  <si>
    <t>LinkedIn</t>
  </si>
  <si>
    <t>HR Executive</t>
  </si>
  <si>
    <t>C008</t>
  </si>
  <si>
    <t>C009</t>
  </si>
  <si>
    <t>Recruiter</t>
  </si>
  <si>
    <t>C010</t>
  </si>
  <si>
    <t>C011</t>
  </si>
  <si>
    <t>C012</t>
  </si>
  <si>
    <t>Lucknow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</si>
  <si>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</si>
  <si>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</si>
  <si>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</si>
  <si>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</si>
  <si>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</si>
  <si>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</si>
  <si>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</si>
  <si>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</si>
  <si>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</si>
  <si>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Company Website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</si>
  <si>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</si>
  <si>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</si>
  <si>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</si>
  <si>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</si>
  <si>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</si>
  <si>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</si>
  <si>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</si>
  <si>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</si>
  <si>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</si>
  <si>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</si>
  <si>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</si>
  <si>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</si>
  <si>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</si>
  <si>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</si>
  <si>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</si>
  <si>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</si>
  <si>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</si>
  <si>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</si>
  <si>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</si>
  <si>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</si>
  <si>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</si>
  <si>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</si>
  <si>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</si>
  <si>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</si>
  <si>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</si>
  <si>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</si>
  <si>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</si>
  <si>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</si>
  <si>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</si>
  <si>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</si>
  <si>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</si>
  <si>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</si>
  <si>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</si>
  <si>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</si>
  <si>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</si>
  <si>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</si>
  <si>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</si>
  <si>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</si>
  <si>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</si>
  <si>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</si>
  <si>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</si>
  <si>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</si>
  <si>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</si>
  <si>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</si>
  <si>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</si>
  <si>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</si>
  <si>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</si>
  <si>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</si>
  <si>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</si>
  <si>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</si>
  <si>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</si>
  <si>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</si>
  <si>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</si>
  <si>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</si>
  <si>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</si>
  <si>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</si>
  <si>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</si>
  <si>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</si>
  <si>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</si>
  <si>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</si>
  <si>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</si>
  <si>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</si>
  <si>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</si>
  <si>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</si>
  <si>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</si>
  <si>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</si>
  <si>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</si>
  <si>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</si>
  <si>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</si>
  <si>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</si>
  <si>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</si>
  <si>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</si>
  <si>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</si>
  <si>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</si>
  <si>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</si>
  <si>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</si>
  <si>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</si>
  <si>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</si>
  <si>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</si>
  <si>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</si>
  <si>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</si>
  <si>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</si>
  <si>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</si>
  <si>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</si>
  <si>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</si>
  <si>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</si>
  <si>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</si>
  <si>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</si>
  <si>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</si>
  <si>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</si>
  <si>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</si>
  <si>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</si>
  <si>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</si>
  <si>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</si>
  <si>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</si>
  <si>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</si>
  <si>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</si>
  <si>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</si>
  <si>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</si>
  <si>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</si>
  <si>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</si>
  <si>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</si>
  <si>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</si>
  <si>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</si>
  <si>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</si>
  <si>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</si>
  <si>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</si>
  <si>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</si>
  <si>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</si>
  <si>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</si>
  <si>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</si>
  <si>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</si>
  <si>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</si>
  <si>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</si>
  <si>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</si>
  <si>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</si>
  <si>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</si>
  <si>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</si>
  <si>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</si>
  <si>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</si>
  <si>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</si>
  <si>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</si>
  <si>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</si>
  <si>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</si>
  <si>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</si>
  <si>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</si>
  <si>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</si>
  <si>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</si>
  <si>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</si>
  <si>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</si>
  <si>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</si>
  <si>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</si>
  <si>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</si>
  <si>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</si>
  <si>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</si>
  <si>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</si>
  <si>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</si>
  <si>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</si>
  <si>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</si>
  <si>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</si>
  <si>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</si>
  <si>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</si>
  <si>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</si>
  <si>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</si>
  <si>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</si>
  <si>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</si>
  <si>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</si>
  <si>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</si>
  <si>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</si>
  <si>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</si>
  <si>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</si>
  <si>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</si>
  <si>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</si>
  <si>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</si>
  <si>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</si>
  <si>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</si>
  <si>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</si>
  <si>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</si>
  <si>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</si>
  <si>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</si>
  <si>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</si>
  <si>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</si>
  <si>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</si>
  <si>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</si>
  <si>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</si>
  <si>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</si>
  <si>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</si>
  <si>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</si>
  <si>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</si>
  <si>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</si>
  <si>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</si>
  <si>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</si>
  <si>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</si>
  <si>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</si>
  <si>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</si>
  <si>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</si>
  <si>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</si>
  <si>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</si>
  <si>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</si>
  <si>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</si>
  <si>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</si>
  <si>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</si>
  <si>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</si>
  <si>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</si>
  <si>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</si>
  <si>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</si>
  <si>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</si>
  <si>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</si>
  <si>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</si>
  <si>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</si>
  <si>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</si>
  <si>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</si>
  <si>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</si>
  <si>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</si>
  <si>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</si>
  <si>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</si>
  <si>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</si>
  <si>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</si>
  <si>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</si>
  <si>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</si>
  <si>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</si>
  <si>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</si>
  <si>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</si>
  <si>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</si>
  <si>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</si>
  <si>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</si>
  <si>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</si>
  <si>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</si>
  <si>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</si>
  <si>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</si>
  <si>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</si>
  <si>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</si>
  <si>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</si>
  <si>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</si>
  <si>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</si>
  <si>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</si>
  <si>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</si>
  <si>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</si>
  <si>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</si>
  <si>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</si>
  <si>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</si>
  <si>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</si>
  <si>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</si>
  <si>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</si>
  <si>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</si>
  <si>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</si>
  <si>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</si>
  <si>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</si>
  <si>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</si>
  <si>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</si>
  <si>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</si>
  <si>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</si>
  <si>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</si>
  <si>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</si>
  <si>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</si>
  <si>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</si>
  <si>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</si>
  <si>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</si>
  <si>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</si>
  <si>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</si>
  <si>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</si>
  <si>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</si>
  <si>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</si>
  <si>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</si>
  <si>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</si>
  <si>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</si>
  <si>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</si>
  <si>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</si>
  <si>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</si>
  <si>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</si>
  <si>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</si>
  <si>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</si>
  <si>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</si>
  <si>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</si>
  <si>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</si>
  <si>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</si>
  <si>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</si>
  <si>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</si>
  <si>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</si>
  <si>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</si>
  <si>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</si>
  <si>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</si>
  <si>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</si>
  <si>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</si>
  <si>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</si>
  <si>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</si>
  <si>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</si>
  <si>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</si>
  <si>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</si>
  <si>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</si>
  <si>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</si>
  <si>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</si>
  <si>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</si>
  <si>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</si>
  <si>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</si>
  <si>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</si>
  <si>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</si>
  <si>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</si>
  <si>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</si>
  <si>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</si>
  <si>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</si>
  <si>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</si>
  <si>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</si>
  <si>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</si>
  <si>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</si>
  <si>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</si>
  <si>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</si>
  <si>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</si>
  <si>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</si>
  <si>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</si>
  <si>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</si>
  <si>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</si>
  <si>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</si>
  <si>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</si>
  <si>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</si>
  <si>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</si>
  <si>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</si>
  <si>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</si>
  <si>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</si>
  <si>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</si>
  <si>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</si>
  <si>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</si>
  <si>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</si>
  <si>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</si>
  <si>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</si>
  <si>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</si>
  <si>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</si>
  <si>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</si>
  <si>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</si>
  <si>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</si>
  <si>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</si>
  <si>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</si>
  <si>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</si>
  <si>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</si>
  <si>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</si>
  <si>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</si>
  <si>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</si>
  <si>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</si>
  <si>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</si>
  <si>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</si>
  <si>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</si>
  <si>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</si>
  <si>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</si>
  <si>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</si>
  <si>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</si>
  <si>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</si>
  <si>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</si>
  <si>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</si>
  <si>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</si>
  <si>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</si>
  <si>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</si>
  <si>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</si>
  <si>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</si>
  <si>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</si>
  <si>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</si>
  <si>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</si>
  <si>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</si>
  <si>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</si>
  <si>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</si>
  <si>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</si>
  <si>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</si>
  <si>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</si>
  <si>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</si>
  <si>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</si>
  <si>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</si>
  <si>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</si>
  <si>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</si>
  <si>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</si>
  <si>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</si>
  <si>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</si>
  <si>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</si>
  <si>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</si>
  <si>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</si>
  <si>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</si>
  <si>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</si>
  <si>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</si>
  <si>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</si>
  <si>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</si>
  <si>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</si>
  <si>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</si>
  <si>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</si>
  <si>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</si>
  <si>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</si>
  <si>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</si>
  <si>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</si>
  <si>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</si>
  <si>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</si>
  <si>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</si>
  <si>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</si>
  <si>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</si>
  <si>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</si>
  <si>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</si>
  <si>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</si>
  <si>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</si>
  <si>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</si>
  <si>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</si>
  <si>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</si>
  <si>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</si>
  <si>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</si>
  <si>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</si>
  <si>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</si>
  <si>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</si>
  <si>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</si>
  <si>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</si>
  <si>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</si>
  <si>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</si>
  <si>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</si>
  <si>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</si>
  <si>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</si>
  <si>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</si>
  <si>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</si>
  <si>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</si>
  <si>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</si>
  <si>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</si>
  <si>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</si>
  <si>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</si>
  <si>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</si>
  <si>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</si>
  <si>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</si>
  <si>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</si>
  <si>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</si>
  <si>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</si>
  <si>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</si>
  <si>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</si>
  <si>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</si>
  <si>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</si>
  <si>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</si>
  <si>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</si>
  <si>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</si>
  <si>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</si>
  <si>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</si>
  <si>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</si>
  <si>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</si>
  <si>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</si>
  <si>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</si>
  <si>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</si>
  <si>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</si>
  <si>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</si>
  <si>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</si>
  <si>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</si>
  <si>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</si>
  <si>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</si>
  <si>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</si>
  <si>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</si>
  <si>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</si>
  <si>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</si>
  <si>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</si>
  <si>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</si>
  <si>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</si>
  <si>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</si>
  <si>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</si>
  <si>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</si>
  <si>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</si>
  <si>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</si>
  <si>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</si>
  <si>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</si>
  <si>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</si>
  <si>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</si>
  <si>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</si>
  <si>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</si>
  <si>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</si>
  <si>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</si>
  <si>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</si>
  <si>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</si>
  <si>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</si>
  <si>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</si>
  <si>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</si>
  <si>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</si>
  <si>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</si>
  <si>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</si>
  <si>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</si>
  <si>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</si>
  <si>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</si>
  <si>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</si>
  <si>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</si>
  <si>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</si>
  <si>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</si>
  <si>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</si>
  <si>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</si>
  <si>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</si>
  <si>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</si>
  <si>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</si>
  <si>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</si>
  <si>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</si>
  <si>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</si>
  <si>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</si>
  <si>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</si>
  <si>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</si>
  <si>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</si>
  <si>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</si>
  <si>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</si>
  <si>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</si>
  <si>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</si>
  <si>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</si>
  <si>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</si>
  <si>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</si>
  <si>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</si>
  <si>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</si>
  <si>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Stage</t>
  </si>
  <si>
    <t>Candidates</t>
  </si>
  <si>
    <t>Applicants</t>
  </si>
  <si>
    <t>Joining_Rate_%</t>
  </si>
  <si>
    <t>Sourced</t>
  </si>
  <si>
    <t>Candidates lost</t>
  </si>
  <si>
    <t>Row Labels</t>
  </si>
  <si>
    <t>Grand Total</t>
  </si>
  <si>
    <t>Count of Candidate_ID</t>
  </si>
  <si>
    <t>Column Labels</t>
  </si>
  <si>
    <t/>
  </si>
  <si>
    <t>Converaion rate</t>
  </si>
  <si>
    <t>Conversion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</si>
</sst>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0" fontId="0" fillId="2" borderId="0" xfId="0" applyFill="1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3" fillId="2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quotePrefix="1"/>
    <xf numFmtId="2" fontId="0" fillId="2" borderId="0" xfId="0" applyNumberFormat="1" applyFill="1"/>
    <xf numFmtId="0" fontId="7" fillId="2" borderId="0" xfId="0" applyFont="1" applyFill="1"/>
    <xf numFmtId="0" fontId="7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698286885460711"/>
          <c:y val="0.18344468701572839"/>
          <c:w val="0.7403538466682511"/>
          <c:h val="0.648103515346826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Source_Analysis!$B$23</c:f>
              <c:strCache>
                <c:ptCount val="1"/>
                <c:pt idx="0">
                  <c:v>Candidates lost</c:v>
                </c:pt>
              </c:strCache>
            </c:strRef>
          </c:tx>
          <c:spPr>
            <a:solidFill>
              <a:schemeClr val="tx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Source_Analysis!$A$24:$A$30</c:f>
              <c:strCache>
                <c:ptCount val="7"/>
                <c:pt idx="0">
                  <c:v>Screened</c:v>
                </c:pt>
                <c:pt idx="1">
                  <c:v>Shortlisted</c:v>
                </c:pt>
                <c:pt idx="2">
                  <c:v>Interviewed</c:v>
                </c:pt>
                <c:pt idx="3">
                  <c:v>Selected</c:v>
                </c:pt>
                <c:pt idx="4">
                  <c:v>Offer_Made</c:v>
                </c:pt>
                <c:pt idx="5">
                  <c:v>Offer_Accepted</c:v>
                </c:pt>
                <c:pt idx="6">
                  <c:v>Joined</c:v>
                </c:pt>
              </c:strCache>
            </c:strRef>
          </c:cat>
          <c:val>
            <c:numRef>
              <c:f>Source_Analysis!$B$24:$B$30</c:f>
              <c:numCache>
                <c:formatCode>General</c:formatCode>
                <c:ptCount val="7"/>
                <c:pt idx="0">
                  <c:v>120</c:v>
                </c:pt>
                <c:pt idx="1">
                  <c:v>176</c:v>
                </c:pt>
                <c:pt idx="2">
                  <c:v>81</c:v>
                </c:pt>
                <c:pt idx="3">
                  <c:v>64</c:v>
                </c:pt>
                <c:pt idx="4">
                  <c:v>6</c:v>
                </c:pt>
                <c:pt idx="5">
                  <c:v>7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6B-45EF-83FA-A5FF6E40E3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26"/>
        <c:overlap val="-58"/>
        <c:axId val="1455398160"/>
        <c:axId val="1318090512"/>
      </c:barChart>
      <c:catAx>
        <c:axId val="1455398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090512"/>
        <c:crosses val="autoZero"/>
        <c:auto val="1"/>
        <c:lblAlgn val="ctr"/>
        <c:lblOffset val="100"/>
        <c:noMultiLvlLbl val="0"/>
      </c:catAx>
      <c:valAx>
        <c:axId val="13180905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398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Source-wise conversion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Source_Analysis!$B$1</c:f>
              <c:strCache>
                <c:ptCount val="1"/>
                <c:pt idx="0">
                  <c:v>Applicants</c:v>
                </c:pt>
              </c:strCache>
            </c:strRef>
          </c:tx>
          <c:spPr>
            <a:solidFill>
              <a:srgbClr val="002060">
                <a:alpha val="85000"/>
              </a:srgbClr>
            </a:solidFill>
            <a:ln w="9525" cap="flat" cmpd="sng" algn="ctr">
              <a:solidFill>
                <a:schemeClr val="accent1">
                  <a:alpha val="51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Source_Analysis!$A$2:$A$6</c:f>
              <c:strCache>
                <c:ptCount val="5"/>
                <c:pt idx="0">
                  <c:v>Company Website</c:v>
                </c:pt>
                <c:pt idx="1">
                  <c:v>LinkedIn</c:v>
                </c:pt>
                <c:pt idx="2">
                  <c:v>Naukri</c:v>
                </c:pt>
                <c:pt idx="3">
                  <c:v>Referral</c:v>
                </c:pt>
                <c:pt idx="4">
                  <c:v>Walk-in</c:v>
                </c:pt>
              </c:strCache>
            </c:strRef>
          </c:cat>
          <c:val>
            <c:numRef>
              <c:f>Source_Analysis!$B$2:$B$6</c:f>
              <c:numCache>
                <c:formatCode>0.00</c:formatCode>
                <c:ptCount val="5"/>
                <c:pt idx="0">
                  <c:v>48</c:v>
                </c:pt>
                <c:pt idx="1">
                  <c:v>138</c:v>
                </c:pt>
                <c:pt idx="2">
                  <c:v>164</c:v>
                </c:pt>
                <c:pt idx="3">
                  <c:v>77</c:v>
                </c:pt>
                <c:pt idx="4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EA-440C-9BEA-9742BFABAE75}"/>
            </c:ext>
          </c:extLst>
        </c:ser>
        <c:ser>
          <c:idx val="1"/>
          <c:order val="1"/>
          <c:tx>
            <c:strRef>
              <c:f>Source_Analysis!$C$1</c:f>
              <c:strCache>
                <c:ptCount val="1"/>
                <c:pt idx="0">
                  <c:v>Joined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Source_Analysis!$A$2:$A$6</c:f>
              <c:strCache>
                <c:ptCount val="5"/>
                <c:pt idx="0">
                  <c:v>Company Website</c:v>
                </c:pt>
                <c:pt idx="1">
                  <c:v>LinkedIn</c:v>
                </c:pt>
                <c:pt idx="2">
                  <c:v>Naukri</c:v>
                </c:pt>
                <c:pt idx="3">
                  <c:v>Referral</c:v>
                </c:pt>
                <c:pt idx="4">
                  <c:v>Walk-in</c:v>
                </c:pt>
              </c:strCache>
            </c:strRef>
          </c:cat>
          <c:val>
            <c:numRef>
              <c:f>Source_Analysis!$C$2:$C$6</c:f>
              <c:numCache>
                <c:formatCode>0.00</c:formatCode>
                <c:ptCount val="5"/>
                <c:pt idx="0">
                  <c:v>4</c:v>
                </c:pt>
                <c:pt idx="1">
                  <c:v>16</c:v>
                </c:pt>
                <c:pt idx="2">
                  <c:v>11</c:v>
                </c:pt>
                <c:pt idx="3">
                  <c:v>2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EA-440C-9BEA-9742BFABAE75}"/>
            </c:ext>
          </c:extLst>
        </c:ser>
        <c:ser>
          <c:idx val="2"/>
          <c:order val="2"/>
          <c:tx>
            <c:strRef>
              <c:f>Source_Analysis!$D$1</c:f>
              <c:strCache>
                <c:ptCount val="1"/>
                <c:pt idx="0">
                  <c:v>Joining_Rate_%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Source_Analysis!$A$2:$A$6</c:f>
              <c:strCache>
                <c:ptCount val="5"/>
                <c:pt idx="0">
                  <c:v>Company Website</c:v>
                </c:pt>
                <c:pt idx="1">
                  <c:v>LinkedIn</c:v>
                </c:pt>
                <c:pt idx="2">
                  <c:v>Naukri</c:v>
                </c:pt>
                <c:pt idx="3">
                  <c:v>Referral</c:v>
                </c:pt>
                <c:pt idx="4">
                  <c:v>Walk-in</c:v>
                </c:pt>
              </c:strCache>
            </c:strRef>
          </c:cat>
          <c:val>
            <c:numRef>
              <c:f>Source_Analysis!$D$2:$D$6</c:f>
              <c:numCache>
                <c:formatCode>0.00</c:formatCode>
                <c:ptCount val="5"/>
                <c:pt idx="0">
                  <c:v>8.3000000000000007</c:v>
                </c:pt>
                <c:pt idx="1">
                  <c:v>11.6</c:v>
                </c:pt>
                <c:pt idx="2">
                  <c:v>6.7</c:v>
                </c:pt>
                <c:pt idx="3">
                  <c:v>2.6</c:v>
                </c:pt>
                <c:pt idx="4">
                  <c:v>12.3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EA-440C-9BEA-9742BFABAE7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48465024"/>
        <c:axId val="1318124592"/>
      </c:barChart>
      <c:catAx>
        <c:axId val="1448465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124592"/>
        <c:crosses val="autoZero"/>
        <c:auto val="1"/>
        <c:lblAlgn val="ctr"/>
        <c:lblOffset val="100"/>
        <c:noMultiLvlLbl val="0"/>
      </c:catAx>
      <c:valAx>
        <c:axId val="13181245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46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Recruitemnet</a:t>
            </a:r>
            <a:r>
              <a:rPr lang="en-IN" baseline="0"/>
              <a:t> stage conversion Rate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7171296296296298"/>
          <c:w val="0.89019685039370078"/>
          <c:h val="0.44064668999708367"/>
        </c:manualLayout>
      </c:layout>
      <c:lineChart>
        <c:grouping val="standard"/>
        <c:varyColors val="0"/>
        <c:ser>
          <c:idx val="0"/>
          <c:order val="0"/>
          <c:tx>
            <c:strRef>
              <c:f>Source_Analysis!$B$8</c:f>
              <c:strCache>
                <c:ptCount val="1"/>
                <c:pt idx="0">
                  <c:v>Candidates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Source_Analysis!$A$9:$A$16</c:f>
              <c:strCache>
                <c:ptCount val="8"/>
                <c:pt idx="0">
                  <c:v>Sourced</c:v>
                </c:pt>
                <c:pt idx="1">
                  <c:v>Screened</c:v>
                </c:pt>
                <c:pt idx="2">
                  <c:v>Shortlisted</c:v>
                </c:pt>
                <c:pt idx="3">
                  <c:v>Interviewed</c:v>
                </c:pt>
                <c:pt idx="4">
                  <c:v>Selected</c:v>
                </c:pt>
                <c:pt idx="5">
                  <c:v>Offer_Made</c:v>
                </c:pt>
                <c:pt idx="6">
                  <c:v>Offer_Accepted</c:v>
                </c:pt>
                <c:pt idx="7">
                  <c:v>Joined</c:v>
                </c:pt>
              </c:strCache>
            </c:strRef>
          </c:cat>
          <c:val>
            <c:numRef>
              <c:f>Source_Analysis!$B$9:$B$16</c:f>
              <c:numCache>
                <c:formatCode>General</c:formatCode>
                <c:ptCount val="8"/>
                <c:pt idx="0">
                  <c:v>500</c:v>
                </c:pt>
                <c:pt idx="1">
                  <c:v>380</c:v>
                </c:pt>
                <c:pt idx="2">
                  <c:v>204</c:v>
                </c:pt>
                <c:pt idx="3">
                  <c:v>123</c:v>
                </c:pt>
                <c:pt idx="4">
                  <c:v>59</c:v>
                </c:pt>
                <c:pt idx="5">
                  <c:v>53</c:v>
                </c:pt>
                <c:pt idx="6">
                  <c:v>46</c:v>
                </c:pt>
                <c:pt idx="7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EC-4655-AA73-1807ACA84FD4}"/>
            </c:ext>
          </c:extLst>
        </c:ser>
        <c:ser>
          <c:idx val="1"/>
          <c:order val="1"/>
          <c:tx>
            <c:strRef>
              <c:f>Source_Analysis!$C$8</c:f>
              <c:strCache>
                <c:ptCount val="1"/>
                <c:pt idx="0">
                  <c:v>Conversion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Source_Analysis!$A$9:$A$16</c:f>
              <c:strCache>
                <c:ptCount val="8"/>
                <c:pt idx="0">
                  <c:v>Sourced</c:v>
                </c:pt>
                <c:pt idx="1">
                  <c:v>Screened</c:v>
                </c:pt>
                <c:pt idx="2">
                  <c:v>Shortlisted</c:v>
                </c:pt>
                <c:pt idx="3">
                  <c:v>Interviewed</c:v>
                </c:pt>
                <c:pt idx="4">
                  <c:v>Selected</c:v>
                </c:pt>
                <c:pt idx="5">
                  <c:v>Offer_Made</c:v>
                </c:pt>
                <c:pt idx="6">
                  <c:v>Offer_Accepted</c:v>
                </c:pt>
                <c:pt idx="7">
                  <c:v>Joined</c:v>
                </c:pt>
              </c:strCache>
            </c:strRef>
          </c:cat>
          <c:val>
            <c:numRef>
              <c:f>Source_Analysis!$C$9:$C$16</c:f>
              <c:numCache>
                <c:formatCode>General</c:formatCode>
                <c:ptCount val="8"/>
                <c:pt idx="1">
                  <c:v>76</c:v>
                </c:pt>
                <c:pt idx="2" formatCode="0.00">
                  <c:v>53.684210526315788</c:v>
                </c:pt>
                <c:pt idx="3" formatCode="0.00">
                  <c:v>60.294117647058819</c:v>
                </c:pt>
                <c:pt idx="4" formatCode="0.00">
                  <c:v>47.967479674796749</c:v>
                </c:pt>
                <c:pt idx="5" formatCode="0.00">
                  <c:v>89.830508474576277</c:v>
                </c:pt>
                <c:pt idx="6" formatCode="0.00">
                  <c:v>86.79245283018868</c:v>
                </c:pt>
                <c:pt idx="7" formatCode="0.00">
                  <c:v>91.304347826086953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EC-4655-AA73-1807ACA84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5397696"/>
        <c:axId val="1318115952"/>
      </c:lineChart>
      <c:catAx>
        <c:axId val="145539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115952"/>
        <c:crosses val="autoZero"/>
        <c:auto val="1"/>
        <c:lblAlgn val="ctr"/>
        <c:lblOffset val="100"/>
        <c:noMultiLvlLbl val="0"/>
      </c:catAx>
      <c:valAx>
        <c:axId val="131811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397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txData>
          <cx:v>Recruitement Stages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/>
            </a:rPr>
            <a:t>Recruitement Stages</a:t>
          </a:r>
        </a:p>
      </cx:txPr>
    </cx:title>
    <cx:plotArea>
      <cx:plotAreaRegion>
        <cx:series layoutId="funnel" uniqueId="{E7BEB588-E5ED-492F-9615-16656C9DEF58}" formatIdx="0">
          <cx:tx>
            <cx:txData>
              <cx:f>_xlchart.v2.1</cx:f>
              <cx:v>Candidates</cx:v>
            </cx:txData>
          </cx:tx>
          <cx:dataLabels>
            <cx:visibility seriesName="0" categoryName="0" value="1"/>
          </cx:dataLabels>
          <cx:dataId val="0"/>
        </cx:series>
      </cx:plotAreaRegion>
      <cx:axis id="1">
        <cx:catScaling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2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134472</xdr:colOff>
      <xdr:row>11</xdr:row>
      <xdr:rowOff>14216</xdr:rowOff>
    </xdr:from>
    <xdr:to>
      <xdr:col>9</xdr:col>
      <xdr:colOff>312645</xdr:colOff>
      <xdr:row>23</xdr:row>
      <xdr:rowOff>89648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4AA145A-E1EB-A1AC-3F30-1DACCD3651F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96338" y="2189328"/>
              <a:ext cx="4457314" cy="229319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89647</xdr:colOff>
      <xdr:row>24</xdr:row>
      <xdr:rowOff>56029</xdr:rowOff>
    </xdr:from>
    <xdr:to>
      <xdr:col>9</xdr:col>
      <xdr:colOff>280147</xdr:colOff>
      <xdr:row>35</xdr:row>
      <xdr:rowOff>89647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BBCE8FF-AF3D-FDAB-5206-C156712F51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593912</xdr:colOff>
      <xdr:row>24</xdr:row>
      <xdr:rowOff>22412</xdr:rowOff>
    </xdr:from>
    <xdr:to>
      <xdr:col>16</xdr:col>
      <xdr:colOff>560293</xdr:colOff>
      <xdr:row>35</xdr:row>
      <xdr:rowOff>94411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04C1D3C-1BBF-47D7-BC1A-614E406A44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593911</xdr:colOff>
      <xdr:row>11</xdr:row>
      <xdr:rowOff>22410</xdr:rowOff>
    </xdr:from>
    <xdr:to>
      <xdr:col>16</xdr:col>
      <xdr:colOff>560293</xdr:colOff>
      <xdr:row>23</xdr:row>
      <xdr:rowOff>56027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54DEAF6-9699-2FD3-C13F-4FF367AB81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437030</xdr:colOff>
      <xdr:row>4</xdr:row>
      <xdr:rowOff>33618</xdr:rowOff>
    </xdr:from>
    <xdr:to>
      <xdr:col>12</xdr:col>
      <xdr:colOff>504265</xdr:colOff>
      <xdr:row>8</xdr:row>
      <xdr:rowOff>44824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B8C6DF4A-6E66-8281-479C-C259F92D386F}"/>
            </a:ext>
          </a:extLst>
        </xdr:cNvPr>
        <xdr:cNvSpPr/>
      </xdr:nvSpPr>
      <xdr:spPr>
        <a:xfrm>
          <a:off x="4202206" y="941294"/>
          <a:ext cx="4303059" cy="773206"/>
        </a:xfrm>
        <a:prstGeom prst="round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000"/>
            <a:t>Recruitemnt</a:t>
          </a:r>
          <a:r>
            <a:rPr lang="en-IN" sz="2000" baseline="0"/>
            <a:t> Conversion DashBoard </a:t>
          </a:r>
          <a:endParaRPr lang="en-IN" sz="20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d Shahrukh" refreshedDate="46288.726745370368" createdVersion="8" refreshedVersion="8" minRefreshableVersion="3" recordCount="500" xr:uid="{B9DB82D9-6EA0-4B05-B5E2-910C91C3319A}">
  <cacheSource type="worksheet">
    <worksheetSource ref="A1:L501" sheet="Candidate_Data"/>
  </cacheSource>
  <cacheFields count="12">
    <cacheField name="Candidate_ID" numFmtId="0">
      <sharedItems count="499">
        <s v="C001"/>
        <s v="C002"/>
        <s v="C003"/>
        <s v="C004"/>
        <s v="C005"/>
        <s v="C006"/>
        <s v="C007"/>
        <s v="C008"/>
        <s v="C009"/>
        <s v="C010"/>
        <s v="C011"/>
        <s v="C012"/>
        <s v="C013"/>
        <s v="C014"/>
        <s v="C015"/>
        <s v="C016"/>
        <s v="C017"/>
        <s v="C018"/>
        <s v="C019"/>
        <s v="C020"/>
        <s v="C021"/>
        <s v="C022"/>
        <s v="C023"/>
        <s v="C024"/>
        <s v="C025"/>
        <s v="C026"/>
        <s v="C027"/>
        <s v="C028"/>
        <s v="C029"/>
        <s v="C030"/>
        <s v="C031"/>
        <s v="C032"/>
        <s v="C033"/>
        <s v="C034"/>
        <s v="C035"/>
        <s v="C036"/>
        <s v="C037"/>
        <s v="C038"/>
        <s v="C039"/>
        <s v="C040"/>
        <s v="C041"/>
        <s v="C042"/>
        <s v="C043"/>
        <s v="C044"/>
        <s v="C045"/>
        <s v="C046"/>
        <s v="C047"/>
        <s v="C048"/>
        <s v="C049"/>
        <s v="C050"/>
        <s v="C051"/>
        <s v="C052"/>
        <s v="C053"/>
        <s v="C054"/>
        <s v="C055"/>
        <s v="C056"/>
        <s v="C057"/>
        <s v="C058"/>
        <s v="C059"/>
        <s v="C060"/>
        <s v="C061"/>
        <s v="C062"/>
        <s v="C063"/>
        <s v="C064"/>
        <s v="C065"/>
        <s v="C066"/>
        <s v="C067"/>
        <s v="C068"/>
        <s v="C069"/>
        <s v="C070"/>
        <s v="C071"/>
        <s v="C072"/>
        <s v="C073"/>
        <s v="C074"/>
        <s v="C075"/>
        <s v="C076"/>
        <s v="C077"/>
        <s v="C078"/>
        <s v="C079"/>
        <s v="C080"/>
        <s v="C081"/>
        <s v="C082"/>
        <s v="C083"/>
        <s v="C084"/>
        <s v="C085"/>
        <s v="C086"/>
        <s v="C087"/>
        <s v="C088"/>
        <s v="C089"/>
        <s v="C090"/>
        <s v="C091"/>
        <s v="C092"/>
        <s v="C093"/>
        <s v="C094"/>
        <s v="C095"/>
        <s v="C096"/>
        <s v="C097"/>
        <s v="C098"/>
        <s v="C099"/>
        <s v="C100"/>
        <s v="C101"/>
        <s v="C102"/>
        <s v="C103"/>
        <s v="C104"/>
        <s v="C105"/>
        <s v="C106"/>
        <s v="C107"/>
        <s v="C108"/>
        <s v="C109"/>
        <s v="C110"/>
        <s v="C111"/>
        <s v="C112"/>
        <s v="C113"/>
        <s v="C114"/>
        <s v="C115"/>
        <s v="C116"/>
        <s v="C117"/>
        <s v="C118"/>
        <s v="C119"/>
        <s v="C120"/>
        <s v="C121"/>
        <s v="C122"/>
        <s v="C123"/>
        <s v="C124"/>
        <s v="C125"/>
        <s v="C126"/>
        <s v="C127"/>
        <s v="C128"/>
        <s v="C129"/>
        <s v="C130"/>
        <s v="C131"/>
        <s v="C132"/>
        <s v="C133"/>
        <s v="C134"/>
        <s v="C135"/>
        <s v="C136"/>
        <s v="C137"/>
        <s v="C138"/>
        <s v="C139"/>
        <s v="C140"/>
        <s v="C141"/>
        <s v="C142"/>
        <s v="C143"/>
        <s v="C144"/>
        <s v="C145"/>
        <s v="C146"/>
        <s v="C147"/>
        <s v="C148"/>
        <s v="C149"/>
        <s v="C150"/>
        <s v="C151"/>
        <s v="C152"/>
        <s v="C153"/>
        <s v="C154"/>
        <s v="C155"/>
        <s v="C156"/>
        <s v="C157"/>
        <s v="C158"/>
        <s v="C159"/>
        <s v="C160"/>
        <s v="C161"/>
        <s v="C162"/>
        <s v="C163"/>
        <s v="C164"/>
        <s v="C165"/>
        <s v="C166"/>
        <s v="C167"/>
        <s v="C168"/>
        <s v="C169"/>
        <s v="C170"/>
        <s v="C171"/>
        <s v="C172"/>
        <s v="C173"/>
        <s v="C174"/>
        <s v="C175"/>
        <s v="C176"/>
        <s v="C177"/>
        <s v="C178"/>
        <s v="C179"/>
        <s v="C180"/>
        <s v="C181"/>
        <s v="C182"/>
        <s v="C183"/>
        <s v="C184"/>
        <s v="C185"/>
        <s v="C186"/>
        <s v="C187"/>
        <s v="C188"/>
        <s v="C189"/>
        <s v="C190"/>
        <s v="C191"/>
        <s v="C192"/>
        <s v="C193"/>
        <s v="C194"/>
        <s v="C195"/>
        <s v="C196"/>
        <s v="C197"/>
        <s v="C198"/>
        <s v="C199"/>
        <s v="C200"/>
        <s v="C201"/>
        <s v="C202"/>
        <s v="C203"/>
        <s v="C204"/>
        <s v="C205"/>
        <s v="C206"/>
        <s v="C207"/>
        <s v="C208"/>
        <s v="C209"/>
        <s v="C210"/>
        <s v="C211"/>
        <s v="C212"/>
        <s v="C213"/>
        <s v="C214"/>
        <s v="C215"/>
        <s v="C216"/>
        <s v="C217"/>
        <s v="C218"/>
        <s v="C219"/>
        <s v="C220"/>
        <s v="C221"/>
        <s v="C222"/>
        <s v="C223"/>
        <s v="C224"/>
        <s v="C225"/>
        <s v="C226"/>
        <s v="C227"/>
        <s v="C228"/>
        <s v="C229"/>
        <s v="C230"/>
        <s v="C231"/>
        <s v="C232"/>
        <s v="C233"/>
        <s v="C234"/>
        <s v="C235"/>
        <s v="C236"/>
        <s v="C237"/>
        <s v="C238"/>
        <s v="C239"/>
        <s v="C240"/>
        <s v="C241"/>
        <s v="C242"/>
        <s v="C243"/>
        <s v="C244"/>
        <s v="C245"/>
        <s v="C246"/>
        <s v="C247"/>
        <s v="C248"/>
        <s v="C249"/>
        <s v="C250"/>
        <s v="C251"/>
        <s v="C252"/>
        <s v="C253"/>
        <s v="C254"/>
        <s v="C255"/>
        <s v="C256"/>
        <s v="C257"/>
        <s v="C258"/>
        <s v="C259"/>
        <s v="C260"/>
        <s v="C261"/>
        <s v="C262"/>
        <s v="C263"/>
        <s v="C264"/>
        <s v="C265"/>
        <s v="C266"/>
        <s v="C267"/>
        <s v="C268"/>
        <s v="C269"/>
        <s v="C270"/>
        <s v="C271"/>
        <s v="C272"/>
        <s v="C273"/>
        <s v="C274"/>
        <s v="C275"/>
        <s v="C276"/>
        <s v="C277"/>
        <s v="C278"/>
        <s v="C279"/>
        <s v="C280"/>
        <s v="C281"/>
        <s v="C282"/>
        <s v="C283"/>
        <s v="C284"/>
        <s v="C285"/>
        <s v="C286"/>
        <s v="C287"/>
        <s v="C288"/>
        <s v="C289"/>
        <s v="C290"/>
        <s v="C291"/>
        <s v="C292"/>
        <s v="C293"/>
        <s v="C294"/>
        <s v="C295"/>
        <s v="C296"/>
        <s v="C297"/>
        <s v="C298"/>
        <s v="C299"/>
        <s v="C300"/>
        <s v="C301"/>
        <s v="C302"/>
        <s v="C303"/>
        <s v="C304"/>
        <s v="C305"/>
        <s v="C306"/>
        <s v="C307"/>
        <s v="C308"/>
        <s v="C309"/>
        <s v="C310"/>
        <s v="C311"/>
        <s v="C312"/>
        <s v="C313"/>
        <s v="C314"/>
        <s v="C315"/>
        <s v="C316"/>
        <s v="C317"/>
        <s v="C318"/>
        <s v="C319"/>
        <s v="C320"/>
        <s v="C321"/>
        <s v="C322"/>
        <s v="C323"/>
        <s v="C324"/>
        <s v="C325"/>
        <s v="C326"/>
        <s v="C327"/>
        <s v="C328"/>
        <s v="C329"/>
        <s v="C330"/>
        <s v="C331"/>
        <s v="C332"/>
        <s v="C333"/>
        <s v="C334"/>
        <s v="C335"/>
        <s v="C336"/>
        <s v="C337"/>
        <s v="C338"/>
        <s v="C339"/>
        <s v="C340"/>
        <s v="C341"/>
        <s v="C342"/>
        <s v="C343"/>
        <s v="C344"/>
        <s v="C345"/>
        <s v="C346"/>
        <s v="C347"/>
        <s v="C348"/>
        <s v="C349"/>
        <s v="C350"/>
        <s v="C351"/>
        <s v="C352"/>
        <s v="C353"/>
        <s v="C354"/>
        <s v="C355"/>
        <s v="C356"/>
        <s v="C357"/>
        <s v="C358"/>
        <s v="C359"/>
        <s v="C360"/>
        <s v="C361"/>
        <s v="C362"/>
        <s v="C363"/>
        <s v="C364"/>
        <s v="C365"/>
        <s v="C366"/>
        <s v="C367"/>
        <s v="C368"/>
        <s v="C369"/>
        <s v="C370"/>
        <s v="C371"/>
        <s v="C372"/>
        <s v="C373"/>
        <s v="C374"/>
        <s v="C375"/>
        <s v="C376"/>
        <s v="C377"/>
        <s v="C378"/>
        <s v="C379"/>
        <s v="C380"/>
        <s v="C381"/>
        <s v="C382"/>
        <s v="C383"/>
        <s v="C384"/>
        <s v="C385"/>
        <s v="C386"/>
        <s v="C387"/>
        <s v="C388"/>
        <s v="C389"/>
        <s v="C390"/>
        <s v="C391"/>
        <s v="C392"/>
        <s v="C393"/>
        <s v="C394"/>
        <s v="C395"/>
        <s v="C396"/>
        <s v="C397"/>
        <s v="C398"/>
        <s v="C399"/>
        <s v="C400"/>
        <s v="C401"/>
        <s v="C402"/>
        <s v="C403"/>
        <s v="C404"/>
        <s v="C405"/>
        <s v="C406"/>
        <s v="C407"/>
        <s v="C408"/>
        <s v="C409"/>
        <s v="C410"/>
        <s v="C411"/>
        <s v="C412"/>
        <s v="C413"/>
        <s v="C414"/>
        <s v="C415"/>
        <s v="C416"/>
        <s v="C417"/>
        <s v="C418"/>
        <s v="C419"/>
        <s v="C420"/>
        <s v="C421"/>
        <s v="C422"/>
        <s v="C423"/>
        <s v="C424"/>
        <s v="C425"/>
        <s v="C426"/>
        <s v="C427"/>
        <s v="C428"/>
        <s v="C429"/>
        <s v="C430"/>
        <s v="C431"/>
        <s v="C432"/>
        <s v="C433"/>
        <s v="C434"/>
        <s v="C435"/>
        <s v="C436"/>
        <s v="C437"/>
        <s v="C438"/>
        <s v="C439"/>
        <s v="C440"/>
        <s v="C441"/>
        <s v="C442"/>
        <s v="C443"/>
        <s v="C444"/>
        <s v="C445"/>
        <s v="C446"/>
        <s v="C447"/>
        <s v="C448"/>
        <s v="C449"/>
        <s v="C450"/>
        <s v="C451"/>
        <s v="C452"/>
        <s v="C453"/>
        <s v="C454"/>
        <s v="C455"/>
        <s v="C456"/>
        <s v="C457"/>
        <s v="C458"/>
        <s v="C459"/>
        <s v="C460"/>
        <s v="C461"/>
        <s v="C462"/>
        <s v="C463"/>
        <s v="C464"/>
        <s v="C465"/>
        <s v="C466"/>
        <s v="C467"/>
        <s v="C468"/>
        <s v="C469"/>
        <s v="C470"/>
        <s v="C471"/>
        <s v="C472"/>
        <s v="C473"/>
        <s v="C474"/>
        <s v="C475"/>
        <s v="C476"/>
        <s v="C477"/>
        <s v="C478"/>
        <s v="C479"/>
        <s v="C480"/>
        <s v="C481"/>
        <s v="C482"/>
        <s v="C483"/>
        <s v="C484"/>
        <s v="C485"/>
        <s v="C486"/>
        <s v="C487"/>
        <s v="C488"/>
        <s v="C489"/>
        <s v="C490"/>
        <s v="C491"/>
        <s v="C492"/>
        <s v="C493"/>
        <s v="C494"/>
        <s v="C495"/>
        <s v="C496"/>
        <s v="C497"/>
        <s v="C498"/>
        <s v="C499"/>
      </sharedItems>
    </cacheField>
    <cacheField name="Source" numFmtId="0">
      <sharedItems count="5">
        <s v="Referral"/>
        <s v="Naukri"/>
        <s v="Walk-in"/>
        <s v="LinkedIn"/>
        <s v="Company Website"/>
      </sharedItems>
    </cacheField>
    <cacheField name="Job_Role" numFmtId="0">
      <sharedItems/>
    </cacheField>
    <cacheField name="Experience" numFmtId="0">
      <sharedItems containsSemiMixedTypes="0" containsString="0" containsNumber="1" containsInteger="1" minValue="0" maxValue="6"/>
    </cacheField>
    <cacheField name="Location" numFmtId="0">
      <sharedItems/>
    </cacheField>
    <cacheField name="Screened" numFmtId="0">
      <sharedItems/>
    </cacheField>
    <cacheField name="Shortlisted" numFmtId="0">
      <sharedItems count="2">
        <s v="No"/>
        <s v="Yes"/>
      </sharedItems>
    </cacheField>
    <cacheField name="Interviewed" numFmtId="0">
      <sharedItems/>
    </cacheField>
    <cacheField name="Selected" numFmtId="0">
      <sharedItems/>
    </cacheField>
    <cacheField name="Offer_Made" numFmtId="0">
      <sharedItems/>
    </cacheField>
    <cacheField name="Offer_Accepted" numFmtId="0">
      <sharedItems count="2">
        <s v="No"/>
        <s v="Yes"/>
      </sharedItems>
    </cacheField>
    <cacheField name="Joined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s v="Data Analyst"/>
    <n v="2"/>
    <s v="Delhi"/>
    <s v="Yes"/>
    <x v="0"/>
    <s v="No"/>
    <s v="No"/>
    <s v="No"/>
    <x v="0"/>
    <x v="0"/>
  </r>
  <r>
    <x v="1"/>
    <x v="0"/>
    <s v="Software Engineer"/>
    <n v="0"/>
    <s v="Pune"/>
    <s v="Yes"/>
    <x v="1"/>
    <s v="Yes"/>
    <s v="No"/>
    <s v="No"/>
    <x v="0"/>
    <x v="0"/>
  </r>
  <r>
    <x v="2"/>
    <x v="1"/>
    <s v="Data Analyst"/>
    <n v="5"/>
    <s v="Bengaluru"/>
    <s v="Yes"/>
    <x v="1"/>
    <s v="No"/>
    <s v="No"/>
    <s v="No"/>
    <x v="0"/>
    <x v="0"/>
  </r>
  <r>
    <x v="3"/>
    <x v="2"/>
    <s v="Data Analyst"/>
    <n v="6"/>
    <s v="Delhi"/>
    <s v="Yes"/>
    <x v="1"/>
    <s v="Yes"/>
    <s v="No"/>
    <s v="No"/>
    <x v="0"/>
    <x v="0"/>
  </r>
  <r>
    <x v="4"/>
    <x v="1"/>
    <s v="Data Analyst"/>
    <n v="0"/>
    <s v="Noida"/>
    <s v="No"/>
    <x v="0"/>
    <s v="No"/>
    <s v="No"/>
    <s v="No"/>
    <x v="0"/>
    <x v="0"/>
  </r>
  <r>
    <x v="5"/>
    <x v="0"/>
    <s v="Business Analyst"/>
    <n v="5"/>
    <s v="Gurugram"/>
    <s v="Yes"/>
    <x v="0"/>
    <s v="No"/>
    <s v="No"/>
    <s v="No"/>
    <x v="0"/>
    <x v="0"/>
  </r>
  <r>
    <x v="6"/>
    <x v="3"/>
    <s v="HR Executive"/>
    <n v="6"/>
    <s v="Bengaluru"/>
    <s v="Yes"/>
    <x v="0"/>
    <s v="No"/>
    <s v="No"/>
    <s v="No"/>
    <x v="0"/>
    <x v="0"/>
  </r>
  <r>
    <x v="7"/>
    <x v="3"/>
    <s v="Business Analyst"/>
    <n v="0"/>
    <s v="Bengaluru"/>
    <s v="Yes"/>
    <x v="1"/>
    <s v="Yes"/>
    <s v="Yes"/>
    <s v="Yes"/>
    <x v="1"/>
    <x v="1"/>
  </r>
  <r>
    <x v="8"/>
    <x v="3"/>
    <s v="Recruiter"/>
    <n v="1"/>
    <s v="Bengaluru"/>
    <s v="Yes"/>
    <x v="0"/>
    <s v="No"/>
    <s v="No"/>
    <s v="No"/>
    <x v="0"/>
    <x v="0"/>
  </r>
  <r>
    <x v="9"/>
    <x v="0"/>
    <s v="HR Executive"/>
    <n v="1"/>
    <s v="Pune"/>
    <s v="No"/>
    <x v="0"/>
    <s v="No"/>
    <s v="No"/>
    <s v="No"/>
    <x v="0"/>
    <x v="0"/>
  </r>
  <r>
    <x v="10"/>
    <x v="1"/>
    <s v="Recruiter"/>
    <n v="5"/>
    <s v="Bengaluru"/>
    <s v="Yes"/>
    <x v="0"/>
    <s v="No"/>
    <s v="No"/>
    <s v="No"/>
    <x v="0"/>
    <x v="0"/>
  </r>
  <r>
    <x v="11"/>
    <x v="2"/>
    <s v="Business Analyst"/>
    <n v="1"/>
    <s v="Lucknow"/>
    <s v="No"/>
    <x v="0"/>
    <s v="No"/>
    <s v="No"/>
    <s v="No"/>
    <x v="0"/>
    <x v="0"/>
  </r>
  <r>
    <x v="12"/>
    <x v="3"/>
    <s v="Data Analyst"/>
    <n v="4"/>
    <s v="Bengaluru"/>
    <s v="Yes"/>
    <x v="0"/>
    <s v="No"/>
    <s v="No"/>
    <s v="No"/>
    <x v="0"/>
    <x v="0"/>
  </r>
  <r>
    <x v="13"/>
    <x v="3"/>
    <s v="Software Engineer"/>
    <n v="3"/>
    <s v="Delhi"/>
    <s v="Yes"/>
    <x v="1"/>
    <s v="Yes"/>
    <s v="Yes"/>
    <s v="Yes"/>
    <x v="0"/>
    <x v="0"/>
  </r>
  <r>
    <x v="14"/>
    <x v="3"/>
    <s v="Data Analyst"/>
    <n v="1"/>
    <s v="Pune"/>
    <s v="Yes"/>
    <x v="0"/>
    <s v="No"/>
    <s v="No"/>
    <s v="No"/>
    <x v="0"/>
    <x v="0"/>
  </r>
  <r>
    <x v="15"/>
    <x v="2"/>
    <s v="Data Analyst"/>
    <n v="1"/>
    <s v="Bengaluru"/>
    <s v="Yes"/>
    <x v="1"/>
    <s v="Yes"/>
    <s v="No"/>
    <s v="No"/>
    <x v="0"/>
    <x v="0"/>
  </r>
  <r>
    <x v="16"/>
    <x v="3"/>
    <s v="Software Engineer"/>
    <n v="6"/>
    <s v="Lucknow"/>
    <s v="Yes"/>
    <x v="1"/>
    <s v="No"/>
    <s v="No"/>
    <s v="No"/>
    <x v="0"/>
    <x v="0"/>
  </r>
  <r>
    <x v="17"/>
    <x v="2"/>
    <s v="Business Analyst"/>
    <n v="2"/>
    <s v="Lucknow"/>
    <s v="Yes"/>
    <x v="1"/>
    <s v="Yes"/>
    <s v="No"/>
    <s v="No"/>
    <x v="0"/>
    <x v="0"/>
  </r>
  <r>
    <x v="18"/>
    <x v="0"/>
    <s v="Software Engineer"/>
    <n v="6"/>
    <s v="Delhi"/>
    <s v="Yes"/>
    <x v="1"/>
    <s v="No"/>
    <s v="No"/>
    <s v="No"/>
    <x v="0"/>
    <x v="0"/>
  </r>
  <r>
    <x v="19"/>
    <x v="2"/>
    <s v="HR Executive"/>
    <n v="1"/>
    <s v="Delhi"/>
    <s v="Yes"/>
    <x v="1"/>
    <s v="No"/>
    <s v="No"/>
    <s v="No"/>
    <x v="0"/>
    <x v="0"/>
  </r>
  <r>
    <x v="20"/>
    <x v="4"/>
    <s v="Software Engineer"/>
    <n v="4"/>
    <s v="Noida"/>
    <s v="Yes"/>
    <x v="1"/>
    <s v="Yes"/>
    <s v="No"/>
    <s v="No"/>
    <x v="0"/>
    <x v="0"/>
  </r>
  <r>
    <x v="21"/>
    <x v="2"/>
    <s v="Data Analyst"/>
    <n v="1"/>
    <s v="Pune"/>
    <s v="No"/>
    <x v="0"/>
    <s v="No"/>
    <s v="No"/>
    <s v="No"/>
    <x v="0"/>
    <x v="0"/>
  </r>
  <r>
    <x v="22"/>
    <x v="1"/>
    <s v="HR Executive"/>
    <n v="0"/>
    <s v="Pune"/>
    <s v="No"/>
    <x v="0"/>
    <s v="No"/>
    <s v="No"/>
    <s v="No"/>
    <x v="0"/>
    <x v="0"/>
  </r>
  <r>
    <x v="23"/>
    <x v="1"/>
    <s v="HR Executive"/>
    <n v="4"/>
    <s v="Delhi"/>
    <s v="Yes"/>
    <x v="0"/>
    <s v="No"/>
    <s v="No"/>
    <s v="No"/>
    <x v="0"/>
    <x v="0"/>
  </r>
  <r>
    <x v="24"/>
    <x v="3"/>
    <s v="Data Analyst"/>
    <n v="4"/>
    <s v="Bengaluru"/>
    <s v="Yes"/>
    <x v="0"/>
    <s v="No"/>
    <s v="No"/>
    <s v="No"/>
    <x v="0"/>
    <x v="0"/>
  </r>
  <r>
    <x v="25"/>
    <x v="3"/>
    <s v="Business Analyst"/>
    <n v="2"/>
    <s v="Gurugram"/>
    <s v="No"/>
    <x v="0"/>
    <s v="No"/>
    <s v="No"/>
    <s v="No"/>
    <x v="0"/>
    <x v="0"/>
  </r>
  <r>
    <x v="26"/>
    <x v="3"/>
    <s v="Data Analyst"/>
    <n v="0"/>
    <s v="Noida"/>
    <s v="Yes"/>
    <x v="0"/>
    <s v="No"/>
    <s v="No"/>
    <s v="No"/>
    <x v="0"/>
    <x v="0"/>
  </r>
  <r>
    <x v="27"/>
    <x v="3"/>
    <s v="Data Analyst"/>
    <n v="5"/>
    <s v="Bengaluru"/>
    <s v="Yes"/>
    <x v="1"/>
    <s v="Yes"/>
    <s v="Yes"/>
    <s v="Yes"/>
    <x v="1"/>
    <x v="1"/>
  </r>
  <r>
    <x v="28"/>
    <x v="3"/>
    <s v="Business Analyst"/>
    <n v="4"/>
    <s v="Pune"/>
    <s v="Yes"/>
    <x v="0"/>
    <s v="No"/>
    <s v="No"/>
    <s v="No"/>
    <x v="0"/>
    <x v="0"/>
  </r>
  <r>
    <x v="29"/>
    <x v="2"/>
    <s v="Data Analyst"/>
    <n v="0"/>
    <s v="Bengaluru"/>
    <s v="Yes"/>
    <x v="1"/>
    <s v="Yes"/>
    <s v="No"/>
    <s v="No"/>
    <x v="0"/>
    <x v="0"/>
  </r>
  <r>
    <x v="30"/>
    <x v="0"/>
    <s v="Software Engineer"/>
    <n v="0"/>
    <s v="Lucknow"/>
    <s v="Yes"/>
    <x v="1"/>
    <s v="No"/>
    <s v="No"/>
    <s v="No"/>
    <x v="0"/>
    <x v="0"/>
  </r>
  <r>
    <x v="31"/>
    <x v="1"/>
    <s v="Data Analyst"/>
    <n v="3"/>
    <s v="Delhi"/>
    <s v="Yes"/>
    <x v="1"/>
    <s v="Yes"/>
    <s v="No"/>
    <s v="No"/>
    <x v="0"/>
    <x v="0"/>
  </r>
  <r>
    <x v="32"/>
    <x v="3"/>
    <s v="Software Engineer"/>
    <n v="4"/>
    <s v="Lucknow"/>
    <s v="Yes"/>
    <x v="0"/>
    <s v="No"/>
    <s v="No"/>
    <s v="No"/>
    <x v="0"/>
    <x v="0"/>
  </r>
  <r>
    <x v="33"/>
    <x v="2"/>
    <s v="Software Engineer"/>
    <n v="6"/>
    <s v="Delhi"/>
    <s v="Yes"/>
    <x v="1"/>
    <s v="Yes"/>
    <s v="Yes"/>
    <s v="Yes"/>
    <x v="1"/>
    <x v="0"/>
  </r>
  <r>
    <x v="34"/>
    <x v="1"/>
    <s v="Business Analyst"/>
    <n v="3"/>
    <s v="Noida"/>
    <s v="Yes"/>
    <x v="0"/>
    <s v="No"/>
    <s v="No"/>
    <s v="No"/>
    <x v="0"/>
    <x v="0"/>
  </r>
  <r>
    <x v="35"/>
    <x v="4"/>
    <s v="HR Executive"/>
    <n v="5"/>
    <s v="Gurugram"/>
    <s v="Yes"/>
    <x v="1"/>
    <s v="No"/>
    <s v="No"/>
    <s v="No"/>
    <x v="0"/>
    <x v="0"/>
  </r>
  <r>
    <x v="36"/>
    <x v="3"/>
    <s v="HR Executive"/>
    <n v="5"/>
    <s v="Noida"/>
    <s v="Yes"/>
    <x v="0"/>
    <s v="No"/>
    <s v="No"/>
    <s v="No"/>
    <x v="0"/>
    <x v="0"/>
  </r>
  <r>
    <x v="37"/>
    <x v="3"/>
    <s v="Software Engineer"/>
    <n v="1"/>
    <s v="Lucknow"/>
    <s v="No"/>
    <x v="0"/>
    <s v="No"/>
    <s v="No"/>
    <s v="No"/>
    <x v="0"/>
    <x v="0"/>
  </r>
  <r>
    <x v="38"/>
    <x v="1"/>
    <s v="Data Analyst"/>
    <n v="4"/>
    <s v="Lucknow"/>
    <s v="Yes"/>
    <x v="1"/>
    <s v="Yes"/>
    <s v="No"/>
    <s v="No"/>
    <x v="0"/>
    <x v="0"/>
  </r>
  <r>
    <x v="39"/>
    <x v="1"/>
    <s v="HR Executive"/>
    <n v="4"/>
    <s v="Lucknow"/>
    <s v="Yes"/>
    <x v="0"/>
    <s v="No"/>
    <s v="No"/>
    <s v="No"/>
    <x v="0"/>
    <x v="0"/>
  </r>
  <r>
    <x v="40"/>
    <x v="3"/>
    <s v="Software Engineer"/>
    <n v="1"/>
    <s v="Bengaluru"/>
    <s v="Yes"/>
    <x v="1"/>
    <s v="Yes"/>
    <s v="No"/>
    <s v="No"/>
    <x v="0"/>
    <x v="0"/>
  </r>
  <r>
    <x v="41"/>
    <x v="1"/>
    <s v="Recruiter"/>
    <n v="6"/>
    <s v="Lucknow"/>
    <s v="Yes"/>
    <x v="0"/>
    <s v="No"/>
    <s v="No"/>
    <s v="No"/>
    <x v="0"/>
    <x v="0"/>
  </r>
  <r>
    <x v="42"/>
    <x v="3"/>
    <s v="Data Analyst"/>
    <n v="4"/>
    <s v="Delhi"/>
    <s v="Yes"/>
    <x v="1"/>
    <s v="Yes"/>
    <s v="Yes"/>
    <s v="Yes"/>
    <x v="1"/>
    <x v="1"/>
  </r>
  <r>
    <x v="43"/>
    <x v="3"/>
    <s v="Recruiter"/>
    <n v="6"/>
    <s v="Bengaluru"/>
    <s v="Yes"/>
    <x v="0"/>
    <s v="No"/>
    <s v="No"/>
    <s v="No"/>
    <x v="0"/>
    <x v="0"/>
  </r>
  <r>
    <x v="44"/>
    <x v="3"/>
    <s v="Software Engineer"/>
    <n v="0"/>
    <s v="Delhi"/>
    <s v="Yes"/>
    <x v="0"/>
    <s v="No"/>
    <s v="No"/>
    <s v="No"/>
    <x v="0"/>
    <x v="0"/>
  </r>
  <r>
    <x v="45"/>
    <x v="0"/>
    <s v="Data Analyst"/>
    <n v="2"/>
    <s v="Pune"/>
    <s v="Yes"/>
    <x v="1"/>
    <s v="No"/>
    <s v="No"/>
    <s v="No"/>
    <x v="0"/>
    <x v="0"/>
  </r>
  <r>
    <x v="46"/>
    <x v="2"/>
    <s v="HR Executive"/>
    <n v="2"/>
    <s v="Lucknow"/>
    <s v="Yes"/>
    <x v="1"/>
    <s v="Yes"/>
    <s v="Yes"/>
    <s v="Yes"/>
    <x v="1"/>
    <x v="1"/>
  </r>
  <r>
    <x v="47"/>
    <x v="0"/>
    <s v="HR Executive"/>
    <n v="3"/>
    <s v="Pune"/>
    <s v="Yes"/>
    <x v="1"/>
    <s v="No"/>
    <s v="No"/>
    <s v="No"/>
    <x v="0"/>
    <x v="0"/>
  </r>
  <r>
    <x v="48"/>
    <x v="4"/>
    <s v="HR Executive"/>
    <n v="6"/>
    <s v="Noida"/>
    <s v="Yes"/>
    <x v="1"/>
    <s v="Yes"/>
    <s v="Yes"/>
    <s v="No"/>
    <x v="0"/>
    <x v="0"/>
  </r>
  <r>
    <x v="49"/>
    <x v="2"/>
    <s v="Software Engineer"/>
    <n v="2"/>
    <s v="Delhi"/>
    <s v="Yes"/>
    <x v="0"/>
    <s v="No"/>
    <s v="No"/>
    <s v="No"/>
    <x v="0"/>
    <x v="0"/>
  </r>
  <r>
    <x v="50"/>
    <x v="3"/>
    <s v="HR Executive"/>
    <n v="6"/>
    <s v="Gurugram"/>
    <s v="No"/>
    <x v="0"/>
    <s v="No"/>
    <s v="No"/>
    <s v="No"/>
    <x v="0"/>
    <x v="0"/>
  </r>
  <r>
    <x v="51"/>
    <x v="0"/>
    <s v="Software Engineer"/>
    <n v="1"/>
    <s v="Delhi"/>
    <s v="No"/>
    <x v="0"/>
    <s v="No"/>
    <s v="No"/>
    <s v="No"/>
    <x v="0"/>
    <x v="0"/>
  </r>
  <r>
    <x v="52"/>
    <x v="2"/>
    <s v="Software Engineer"/>
    <n v="0"/>
    <s v="Delhi"/>
    <s v="No"/>
    <x v="0"/>
    <s v="No"/>
    <s v="No"/>
    <s v="No"/>
    <x v="0"/>
    <x v="0"/>
  </r>
  <r>
    <x v="53"/>
    <x v="1"/>
    <s v="Software Engineer"/>
    <n v="6"/>
    <s v="Bengaluru"/>
    <s v="No"/>
    <x v="0"/>
    <s v="No"/>
    <s v="No"/>
    <s v="No"/>
    <x v="0"/>
    <x v="0"/>
  </r>
  <r>
    <x v="54"/>
    <x v="2"/>
    <s v="Recruiter"/>
    <n v="6"/>
    <s v="Bengaluru"/>
    <s v="Yes"/>
    <x v="0"/>
    <s v="No"/>
    <s v="No"/>
    <s v="No"/>
    <x v="0"/>
    <x v="0"/>
  </r>
  <r>
    <x v="55"/>
    <x v="2"/>
    <s v="Data Analyst"/>
    <n v="6"/>
    <s v="Gurugram"/>
    <s v="Yes"/>
    <x v="0"/>
    <s v="No"/>
    <s v="No"/>
    <s v="No"/>
    <x v="0"/>
    <x v="0"/>
  </r>
  <r>
    <x v="56"/>
    <x v="2"/>
    <s v="Data Analyst"/>
    <n v="5"/>
    <s v="Delhi"/>
    <s v="Yes"/>
    <x v="1"/>
    <s v="Yes"/>
    <s v="No"/>
    <s v="No"/>
    <x v="0"/>
    <x v="0"/>
  </r>
  <r>
    <x v="57"/>
    <x v="3"/>
    <s v="HR Executive"/>
    <n v="5"/>
    <s v="Pune"/>
    <s v="Yes"/>
    <x v="1"/>
    <s v="No"/>
    <s v="No"/>
    <s v="No"/>
    <x v="0"/>
    <x v="0"/>
  </r>
  <r>
    <x v="58"/>
    <x v="1"/>
    <s v="HR Executive"/>
    <n v="2"/>
    <s v="Lucknow"/>
    <s v="Yes"/>
    <x v="1"/>
    <s v="No"/>
    <s v="No"/>
    <s v="No"/>
    <x v="0"/>
    <x v="0"/>
  </r>
  <r>
    <x v="59"/>
    <x v="1"/>
    <s v="HR Executive"/>
    <n v="4"/>
    <s v="Lucknow"/>
    <s v="Yes"/>
    <x v="0"/>
    <s v="No"/>
    <s v="No"/>
    <s v="No"/>
    <x v="0"/>
    <x v="0"/>
  </r>
  <r>
    <x v="60"/>
    <x v="1"/>
    <s v="Business Analyst"/>
    <n v="0"/>
    <s v="Pune"/>
    <s v="No"/>
    <x v="0"/>
    <s v="No"/>
    <s v="No"/>
    <s v="No"/>
    <x v="0"/>
    <x v="0"/>
  </r>
  <r>
    <x v="61"/>
    <x v="3"/>
    <s v="Business Analyst"/>
    <n v="5"/>
    <s v="Bengaluru"/>
    <s v="Yes"/>
    <x v="1"/>
    <s v="Yes"/>
    <s v="No"/>
    <s v="No"/>
    <x v="0"/>
    <x v="0"/>
  </r>
  <r>
    <x v="62"/>
    <x v="1"/>
    <s v="Recruiter"/>
    <n v="6"/>
    <s v="Lucknow"/>
    <s v="Yes"/>
    <x v="1"/>
    <s v="Yes"/>
    <s v="Yes"/>
    <s v="Yes"/>
    <x v="1"/>
    <x v="1"/>
  </r>
  <r>
    <x v="63"/>
    <x v="3"/>
    <s v="Software Engineer"/>
    <n v="5"/>
    <s v="Bengaluru"/>
    <s v="No"/>
    <x v="0"/>
    <s v="No"/>
    <s v="No"/>
    <s v="No"/>
    <x v="0"/>
    <x v="0"/>
  </r>
  <r>
    <x v="64"/>
    <x v="0"/>
    <s v="Recruiter"/>
    <n v="4"/>
    <s v="Lucknow"/>
    <s v="Yes"/>
    <x v="1"/>
    <s v="No"/>
    <s v="No"/>
    <s v="No"/>
    <x v="0"/>
    <x v="0"/>
  </r>
  <r>
    <x v="65"/>
    <x v="0"/>
    <s v="Recruiter"/>
    <n v="3"/>
    <s v="Gurugram"/>
    <s v="Yes"/>
    <x v="1"/>
    <s v="No"/>
    <s v="No"/>
    <s v="No"/>
    <x v="0"/>
    <x v="0"/>
  </r>
  <r>
    <x v="66"/>
    <x v="4"/>
    <s v="Business Analyst"/>
    <n v="5"/>
    <s v="Lucknow"/>
    <s v="Yes"/>
    <x v="0"/>
    <s v="No"/>
    <s v="No"/>
    <s v="No"/>
    <x v="0"/>
    <x v="0"/>
  </r>
  <r>
    <x v="67"/>
    <x v="0"/>
    <s v="Data Analyst"/>
    <n v="6"/>
    <s v="Delhi"/>
    <s v="Yes"/>
    <x v="1"/>
    <s v="Yes"/>
    <s v="Yes"/>
    <s v="Yes"/>
    <x v="1"/>
    <x v="1"/>
  </r>
  <r>
    <x v="68"/>
    <x v="1"/>
    <s v="Recruiter"/>
    <n v="5"/>
    <s v="Pune"/>
    <s v="Yes"/>
    <x v="0"/>
    <s v="No"/>
    <s v="No"/>
    <s v="No"/>
    <x v="0"/>
    <x v="0"/>
  </r>
  <r>
    <x v="69"/>
    <x v="3"/>
    <s v="Data Analyst"/>
    <n v="5"/>
    <s v="Bengaluru"/>
    <s v="Yes"/>
    <x v="0"/>
    <s v="No"/>
    <s v="No"/>
    <s v="No"/>
    <x v="0"/>
    <x v="0"/>
  </r>
  <r>
    <x v="70"/>
    <x v="2"/>
    <s v="Data Analyst"/>
    <n v="3"/>
    <s v="Delhi"/>
    <s v="Yes"/>
    <x v="0"/>
    <s v="No"/>
    <s v="No"/>
    <s v="No"/>
    <x v="0"/>
    <x v="0"/>
  </r>
  <r>
    <x v="71"/>
    <x v="3"/>
    <s v="Data Analyst"/>
    <n v="1"/>
    <s v="Lucknow"/>
    <s v="Yes"/>
    <x v="0"/>
    <s v="No"/>
    <s v="No"/>
    <s v="No"/>
    <x v="0"/>
    <x v="0"/>
  </r>
  <r>
    <x v="72"/>
    <x v="0"/>
    <s v="Software Engineer"/>
    <n v="4"/>
    <s v="Noida"/>
    <s v="No"/>
    <x v="0"/>
    <s v="No"/>
    <s v="No"/>
    <s v="No"/>
    <x v="0"/>
    <x v="0"/>
  </r>
  <r>
    <x v="73"/>
    <x v="2"/>
    <s v="HR Executive"/>
    <n v="5"/>
    <s v="Pune"/>
    <s v="Yes"/>
    <x v="0"/>
    <s v="No"/>
    <s v="No"/>
    <s v="No"/>
    <x v="0"/>
    <x v="0"/>
  </r>
  <r>
    <x v="74"/>
    <x v="3"/>
    <s v="Data Analyst"/>
    <n v="6"/>
    <s v="Gurugram"/>
    <s v="Yes"/>
    <x v="0"/>
    <s v="No"/>
    <s v="No"/>
    <s v="No"/>
    <x v="0"/>
    <x v="0"/>
  </r>
  <r>
    <x v="75"/>
    <x v="2"/>
    <s v="Recruiter"/>
    <n v="6"/>
    <s v="Pune"/>
    <s v="Yes"/>
    <x v="1"/>
    <s v="Yes"/>
    <s v="No"/>
    <s v="No"/>
    <x v="0"/>
    <x v="0"/>
  </r>
  <r>
    <x v="76"/>
    <x v="1"/>
    <s v="Recruiter"/>
    <n v="4"/>
    <s v="Lucknow"/>
    <s v="Yes"/>
    <x v="1"/>
    <s v="No"/>
    <s v="No"/>
    <s v="No"/>
    <x v="0"/>
    <x v="0"/>
  </r>
  <r>
    <x v="77"/>
    <x v="0"/>
    <s v="Data Analyst"/>
    <n v="3"/>
    <s v="Noida"/>
    <s v="Yes"/>
    <x v="1"/>
    <s v="Yes"/>
    <s v="Yes"/>
    <s v="No"/>
    <x v="0"/>
    <x v="0"/>
  </r>
  <r>
    <x v="78"/>
    <x v="3"/>
    <s v="Business Analyst"/>
    <n v="6"/>
    <s v="Pune"/>
    <s v="Yes"/>
    <x v="1"/>
    <s v="Yes"/>
    <s v="No"/>
    <s v="No"/>
    <x v="0"/>
    <x v="0"/>
  </r>
  <r>
    <x v="79"/>
    <x v="2"/>
    <s v="Software Engineer"/>
    <n v="3"/>
    <s v="Pune"/>
    <s v="No"/>
    <x v="0"/>
    <s v="No"/>
    <s v="No"/>
    <s v="No"/>
    <x v="0"/>
    <x v="0"/>
  </r>
  <r>
    <x v="80"/>
    <x v="3"/>
    <s v="HR Executive"/>
    <n v="1"/>
    <s v="Gurugram"/>
    <s v="Yes"/>
    <x v="1"/>
    <s v="Yes"/>
    <s v="Yes"/>
    <s v="Yes"/>
    <x v="1"/>
    <x v="1"/>
  </r>
  <r>
    <x v="81"/>
    <x v="3"/>
    <s v="Data Analyst"/>
    <n v="4"/>
    <s v="Pune"/>
    <s v="Yes"/>
    <x v="1"/>
    <s v="Yes"/>
    <s v="Yes"/>
    <s v="Yes"/>
    <x v="1"/>
    <x v="1"/>
  </r>
  <r>
    <x v="82"/>
    <x v="1"/>
    <s v="Recruiter"/>
    <n v="1"/>
    <s v="Gurugram"/>
    <s v="Yes"/>
    <x v="0"/>
    <s v="No"/>
    <s v="No"/>
    <s v="No"/>
    <x v="0"/>
    <x v="0"/>
  </r>
  <r>
    <x v="83"/>
    <x v="3"/>
    <s v="Business Analyst"/>
    <n v="6"/>
    <s v="Gurugram"/>
    <s v="Yes"/>
    <x v="1"/>
    <s v="Yes"/>
    <s v="No"/>
    <s v="No"/>
    <x v="0"/>
    <x v="0"/>
  </r>
  <r>
    <x v="84"/>
    <x v="4"/>
    <s v="Recruiter"/>
    <n v="5"/>
    <s v="Lucknow"/>
    <s v="No"/>
    <x v="0"/>
    <s v="No"/>
    <s v="No"/>
    <s v="No"/>
    <x v="0"/>
    <x v="0"/>
  </r>
  <r>
    <x v="85"/>
    <x v="0"/>
    <s v="Business Analyst"/>
    <n v="1"/>
    <s v="Delhi"/>
    <s v="No"/>
    <x v="0"/>
    <s v="No"/>
    <s v="No"/>
    <s v="No"/>
    <x v="0"/>
    <x v="0"/>
  </r>
  <r>
    <x v="86"/>
    <x v="0"/>
    <s v="Data Analyst"/>
    <n v="3"/>
    <s v="Bengaluru"/>
    <s v="Yes"/>
    <x v="0"/>
    <s v="No"/>
    <s v="No"/>
    <s v="No"/>
    <x v="0"/>
    <x v="0"/>
  </r>
  <r>
    <x v="87"/>
    <x v="3"/>
    <s v="Recruiter"/>
    <n v="2"/>
    <s v="Delhi"/>
    <s v="Yes"/>
    <x v="0"/>
    <s v="No"/>
    <s v="No"/>
    <s v="No"/>
    <x v="0"/>
    <x v="0"/>
  </r>
  <r>
    <x v="88"/>
    <x v="0"/>
    <s v="Business Analyst"/>
    <n v="1"/>
    <s v="Noida"/>
    <s v="Yes"/>
    <x v="1"/>
    <s v="Yes"/>
    <s v="No"/>
    <s v="No"/>
    <x v="0"/>
    <x v="0"/>
  </r>
  <r>
    <x v="89"/>
    <x v="4"/>
    <s v="Recruiter"/>
    <n v="5"/>
    <s v="Delhi"/>
    <s v="Yes"/>
    <x v="0"/>
    <s v="No"/>
    <s v="No"/>
    <s v="No"/>
    <x v="0"/>
    <x v="0"/>
  </r>
  <r>
    <x v="90"/>
    <x v="0"/>
    <s v="Data Analyst"/>
    <n v="6"/>
    <s v="Noida"/>
    <s v="No"/>
    <x v="0"/>
    <s v="No"/>
    <s v="No"/>
    <s v="No"/>
    <x v="0"/>
    <x v="0"/>
  </r>
  <r>
    <x v="91"/>
    <x v="0"/>
    <s v="Data Analyst"/>
    <n v="4"/>
    <s v="Lucknow"/>
    <s v="Yes"/>
    <x v="1"/>
    <s v="Yes"/>
    <s v="No"/>
    <s v="No"/>
    <x v="0"/>
    <x v="0"/>
  </r>
  <r>
    <x v="92"/>
    <x v="1"/>
    <s v="Business Analyst"/>
    <n v="6"/>
    <s v="Gurugram"/>
    <s v="Yes"/>
    <x v="0"/>
    <s v="No"/>
    <s v="No"/>
    <s v="No"/>
    <x v="0"/>
    <x v="0"/>
  </r>
  <r>
    <x v="93"/>
    <x v="0"/>
    <s v="Business Analyst"/>
    <n v="5"/>
    <s v="Delhi"/>
    <s v="Yes"/>
    <x v="0"/>
    <s v="No"/>
    <s v="No"/>
    <s v="No"/>
    <x v="0"/>
    <x v="0"/>
  </r>
  <r>
    <x v="94"/>
    <x v="4"/>
    <s v="Recruiter"/>
    <n v="6"/>
    <s v="Pune"/>
    <s v="No"/>
    <x v="0"/>
    <s v="No"/>
    <s v="No"/>
    <s v="No"/>
    <x v="0"/>
    <x v="0"/>
  </r>
  <r>
    <x v="95"/>
    <x v="3"/>
    <s v="Business Analyst"/>
    <n v="4"/>
    <s v="Noida"/>
    <s v="Yes"/>
    <x v="1"/>
    <s v="No"/>
    <s v="No"/>
    <s v="No"/>
    <x v="0"/>
    <x v="0"/>
  </r>
  <r>
    <x v="96"/>
    <x v="1"/>
    <s v="HR Executive"/>
    <n v="6"/>
    <s v="Gurugram"/>
    <s v="Yes"/>
    <x v="0"/>
    <s v="No"/>
    <s v="No"/>
    <s v="No"/>
    <x v="0"/>
    <x v="0"/>
  </r>
  <r>
    <x v="97"/>
    <x v="1"/>
    <s v="HR Executive"/>
    <n v="2"/>
    <s v="Delhi"/>
    <s v="Yes"/>
    <x v="1"/>
    <s v="Yes"/>
    <s v="Yes"/>
    <s v="Yes"/>
    <x v="0"/>
    <x v="0"/>
  </r>
  <r>
    <x v="98"/>
    <x v="3"/>
    <s v="HR Executive"/>
    <n v="1"/>
    <s v="Lucknow"/>
    <s v="Yes"/>
    <x v="1"/>
    <s v="Yes"/>
    <s v="Yes"/>
    <s v="Yes"/>
    <x v="1"/>
    <x v="1"/>
  </r>
  <r>
    <x v="99"/>
    <x v="1"/>
    <s v="Recruiter"/>
    <n v="3"/>
    <s v="Bengaluru"/>
    <s v="Yes"/>
    <x v="0"/>
    <s v="No"/>
    <s v="No"/>
    <s v="No"/>
    <x v="0"/>
    <x v="0"/>
  </r>
  <r>
    <x v="100"/>
    <x v="3"/>
    <s v="HR Executive"/>
    <n v="2"/>
    <s v="Gurugram"/>
    <s v="No"/>
    <x v="0"/>
    <s v="No"/>
    <s v="No"/>
    <s v="No"/>
    <x v="0"/>
    <x v="0"/>
  </r>
  <r>
    <x v="101"/>
    <x v="3"/>
    <s v="Recruiter"/>
    <n v="3"/>
    <s v="Noida"/>
    <s v="Yes"/>
    <x v="1"/>
    <s v="No"/>
    <s v="No"/>
    <s v="No"/>
    <x v="0"/>
    <x v="0"/>
  </r>
  <r>
    <x v="102"/>
    <x v="1"/>
    <s v="Business Analyst"/>
    <n v="6"/>
    <s v="Bengaluru"/>
    <s v="Yes"/>
    <x v="1"/>
    <s v="Yes"/>
    <s v="No"/>
    <s v="No"/>
    <x v="0"/>
    <x v="0"/>
  </r>
  <r>
    <x v="103"/>
    <x v="4"/>
    <s v="HR Executive"/>
    <n v="2"/>
    <s v="Lucknow"/>
    <s v="No"/>
    <x v="0"/>
    <s v="No"/>
    <s v="No"/>
    <s v="No"/>
    <x v="0"/>
    <x v="0"/>
  </r>
  <r>
    <x v="104"/>
    <x v="1"/>
    <s v="Recruiter"/>
    <n v="2"/>
    <s v="Lucknow"/>
    <s v="Yes"/>
    <x v="1"/>
    <s v="Yes"/>
    <s v="Yes"/>
    <s v="Yes"/>
    <x v="0"/>
    <x v="0"/>
  </r>
  <r>
    <x v="105"/>
    <x v="0"/>
    <s v="Business Analyst"/>
    <n v="0"/>
    <s v="Lucknow"/>
    <s v="Yes"/>
    <x v="1"/>
    <s v="Yes"/>
    <s v="Yes"/>
    <s v="Yes"/>
    <x v="0"/>
    <x v="0"/>
  </r>
  <r>
    <x v="106"/>
    <x v="3"/>
    <s v="Business Analyst"/>
    <n v="3"/>
    <s v="Gurugram"/>
    <s v="Yes"/>
    <x v="0"/>
    <s v="No"/>
    <s v="No"/>
    <s v="No"/>
    <x v="0"/>
    <x v="0"/>
  </r>
  <r>
    <x v="107"/>
    <x v="1"/>
    <s v="Data Analyst"/>
    <n v="4"/>
    <s v="Noida"/>
    <s v="Yes"/>
    <x v="1"/>
    <s v="Yes"/>
    <s v="Yes"/>
    <s v="Yes"/>
    <x v="1"/>
    <x v="1"/>
  </r>
  <r>
    <x v="108"/>
    <x v="3"/>
    <s v="Software Engineer"/>
    <n v="2"/>
    <s v="Pune"/>
    <s v="No"/>
    <x v="0"/>
    <s v="No"/>
    <s v="No"/>
    <s v="No"/>
    <x v="0"/>
    <x v="0"/>
  </r>
  <r>
    <x v="109"/>
    <x v="1"/>
    <s v="HR Executive"/>
    <n v="4"/>
    <s v="Bengaluru"/>
    <s v="Yes"/>
    <x v="0"/>
    <s v="No"/>
    <s v="No"/>
    <s v="No"/>
    <x v="0"/>
    <x v="0"/>
  </r>
  <r>
    <x v="110"/>
    <x v="0"/>
    <s v="Recruiter"/>
    <n v="0"/>
    <s v="Delhi"/>
    <s v="Yes"/>
    <x v="0"/>
    <s v="No"/>
    <s v="No"/>
    <s v="No"/>
    <x v="0"/>
    <x v="0"/>
  </r>
  <r>
    <x v="111"/>
    <x v="1"/>
    <s v="Recruiter"/>
    <n v="5"/>
    <s v="Pune"/>
    <s v="Yes"/>
    <x v="1"/>
    <s v="Yes"/>
    <s v="Yes"/>
    <s v="Yes"/>
    <x v="1"/>
    <x v="1"/>
  </r>
  <r>
    <x v="112"/>
    <x v="1"/>
    <s v="Business Analyst"/>
    <n v="4"/>
    <s v="Bengaluru"/>
    <s v="No"/>
    <x v="0"/>
    <s v="No"/>
    <s v="No"/>
    <s v="No"/>
    <x v="0"/>
    <x v="0"/>
  </r>
  <r>
    <x v="113"/>
    <x v="1"/>
    <s v="Data Analyst"/>
    <n v="1"/>
    <s v="Bengaluru"/>
    <s v="Yes"/>
    <x v="1"/>
    <s v="Yes"/>
    <s v="Yes"/>
    <s v="Yes"/>
    <x v="1"/>
    <x v="1"/>
  </r>
  <r>
    <x v="114"/>
    <x v="4"/>
    <s v="Recruiter"/>
    <n v="3"/>
    <s v="Bengaluru"/>
    <s v="Yes"/>
    <x v="1"/>
    <s v="Yes"/>
    <s v="No"/>
    <s v="No"/>
    <x v="0"/>
    <x v="0"/>
  </r>
  <r>
    <x v="115"/>
    <x v="3"/>
    <s v="HR Executive"/>
    <n v="3"/>
    <s v="Bengaluru"/>
    <s v="Yes"/>
    <x v="1"/>
    <s v="Yes"/>
    <s v="No"/>
    <s v="No"/>
    <x v="0"/>
    <x v="0"/>
  </r>
  <r>
    <x v="116"/>
    <x v="2"/>
    <s v="HR Executive"/>
    <n v="0"/>
    <s v="Bengaluru"/>
    <s v="No"/>
    <x v="0"/>
    <s v="No"/>
    <s v="No"/>
    <s v="No"/>
    <x v="0"/>
    <x v="0"/>
  </r>
  <r>
    <x v="117"/>
    <x v="3"/>
    <s v="Business Analyst"/>
    <n v="1"/>
    <s v="Gurugram"/>
    <s v="Yes"/>
    <x v="1"/>
    <s v="Yes"/>
    <s v="No"/>
    <s v="No"/>
    <x v="0"/>
    <x v="0"/>
  </r>
  <r>
    <x v="118"/>
    <x v="3"/>
    <s v="Business Analyst"/>
    <n v="0"/>
    <s v="Gurugram"/>
    <s v="Yes"/>
    <x v="1"/>
    <s v="No"/>
    <s v="No"/>
    <s v="No"/>
    <x v="0"/>
    <x v="0"/>
  </r>
  <r>
    <x v="119"/>
    <x v="2"/>
    <s v="Recruiter"/>
    <n v="5"/>
    <s v="Gurugram"/>
    <s v="Yes"/>
    <x v="0"/>
    <s v="No"/>
    <s v="No"/>
    <s v="No"/>
    <x v="0"/>
    <x v="0"/>
  </r>
  <r>
    <x v="120"/>
    <x v="2"/>
    <s v="HR Executive"/>
    <n v="3"/>
    <s v="Lucknow"/>
    <s v="Yes"/>
    <x v="1"/>
    <s v="No"/>
    <s v="No"/>
    <s v="No"/>
    <x v="0"/>
    <x v="0"/>
  </r>
  <r>
    <x v="121"/>
    <x v="3"/>
    <s v="HR Executive"/>
    <n v="0"/>
    <s v="Bengaluru"/>
    <s v="No"/>
    <x v="0"/>
    <s v="No"/>
    <s v="No"/>
    <s v="No"/>
    <x v="0"/>
    <x v="0"/>
  </r>
  <r>
    <x v="122"/>
    <x v="3"/>
    <s v="Data Analyst"/>
    <n v="4"/>
    <s v="Noida"/>
    <s v="Yes"/>
    <x v="1"/>
    <s v="Yes"/>
    <s v="Yes"/>
    <s v="Yes"/>
    <x v="1"/>
    <x v="1"/>
  </r>
  <r>
    <x v="123"/>
    <x v="2"/>
    <s v="HR Executive"/>
    <n v="0"/>
    <s v="Bengaluru"/>
    <s v="Yes"/>
    <x v="1"/>
    <s v="Yes"/>
    <s v="No"/>
    <s v="No"/>
    <x v="0"/>
    <x v="0"/>
  </r>
  <r>
    <x v="124"/>
    <x v="3"/>
    <s v="Data Analyst"/>
    <n v="6"/>
    <s v="Lucknow"/>
    <s v="Yes"/>
    <x v="1"/>
    <s v="No"/>
    <s v="No"/>
    <s v="No"/>
    <x v="0"/>
    <x v="0"/>
  </r>
  <r>
    <x v="125"/>
    <x v="3"/>
    <s v="Business Analyst"/>
    <n v="4"/>
    <s v="Bengaluru"/>
    <s v="Yes"/>
    <x v="0"/>
    <s v="No"/>
    <s v="No"/>
    <s v="No"/>
    <x v="0"/>
    <x v="0"/>
  </r>
  <r>
    <x v="126"/>
    <x v="4"/>
    <s v="Data Analyst"/>
    <n v="4"/>
    <s v="Delhi"/>
    <s v="Yes"/>
    <x v="0"/>
    <s v="No"/>
    <s v="No"/>
    <s v="No"/>
    <x v="0"/>
    <x v="0"/>
  </r>
  <r>
    <x v="127"/>
    <x v="3"/>
    <s v="Software Engineer"/>
    <n v="6"/>
    <s v="Lucknow"/>
    <s v="Yes"/>
    <x v="0"/>
    <s v="No"/>
    <s v="No"/>
    <s v="No"/>
    <x v="0"/>
    <x v="0"/>
  </r>
  <r>
    <x v="128"/>
    <x v="3"/>
    <s v="Software Engineer"/>
    <n v="4"/>
    <s v="Noida"/>
    <s v="No"/>
    <x v="0"/>
    <s v="No"/>
    <s v="No"/>
    <s v="No"/>
    <x v="0"/>
    <x v="0"/>
  </r>
  <r>
    <x v="129"/>
    <x v="1"/>
    <s v="Recruiter"/>
    <n v="4"/>
    <s v="Pune"/>
    <s v="No"/>
    <x v="0"/>
    <s v="No"/>
    <s v="No"/>
    <s v="No"/>
    <x v="0"/>
    <x v="0"/>
  </r>
  <r>
    <x v="130"/>
    <x v="3"/>
    <s v="Data Analyst"/>
    <n v="4"/>
    <s v="Gurugram"/>
    <s v="Yes"/>
    <x v="0"/>
    <s v="No"/>
    <s v="No"/>
    <s v="No"/>
    <x v="0"/>
    <x v="0"/>
  </r>
  <r>
    <x v="131"/>
    <x v="3"/>
    <s v="HR Executive"/>
    <n v="2"/>
    <s v="Delhi"/>
    <s v="No"/>
    <x v="0"/>
    <s v="No"/>
    <s v="No"/>
    <s v="No"/>
    <x v="0"/>
    <x v="0"/>
  </r>
  <r>
    <x v="132"/>
    <x v="1"/>
    <s v="Recruiter"/>
    <n v="6"/>
    <s v="Gurugram"/>
    <s v="Yes"/>
    <x v="0"/>
    <s v="No"/>
    <s v="No"/>
    <s v="No"/>
    <x v="0"/>
    <x v="0"/>
  </r>
  <r>
    <x v="133"/>
    <x v="0"/>
    <s v="Business Analyst"/>
    <n v="3"/>
    <s v="Bengaluru"/>
    <s v="No"/>
    <x v="0"/>
    <s v="No"/>
    <s v="No"/>
    <s v="No"/>
    <x v="0"/>
    <x v="0"/>
  </r>
  <r>
    <x v="134"/>
    <x v="0"/>
    <s v="Data Analyst"/>
    <n v="0"/>
    <s v="Delhi"/>
    <s v="Yes"/>
    <x v="0"/>
    <s v="No"/>
    <s v="No"/>
    <s v="No"/>
    <x v="0"/>
    <x v="0"/>
  </r>
  <r>
    <x v="135"/>
    <x v="2"/>
    <s v="Software Engineer"/>
    <n v="3"/>
    <s v="Lucknow"/>
    <s v="Yes"/>
    <x v="1"/>
    <s v="No"/>
    <s v="No"/>
    <s v="No"/>
    <x v="0"/>
    <x v="0"/>
  </r>
  <r>
    <x v="136"/>
    <x v="3"/>
    <s v="Business Analyst"/>
    <n v="1"/>
    <s v="Lucknow"/>
    <s v="Yes"/>
    <x v="0"/>
    <s v="No"/>
    <s v="No"/>
    <s v="No"/>
    <x v="0"/>
    <x v="0"/>
  </r>
  <r>
    <x v="137"/>
    <x v="1"/>
    <s v="Business Analyst"/>
    <n v="5"/>
    <s v="Lucknow"/>
    <s v="No"/>
    <x v="0"/>
    <s v="No"/>
    <s v="No"/>
    <s v="No"/>
    <x v="0"/>
    <x v="0"/>
  </r>
  <r>
    <x v="138"/>
    <x v="2"/>
    <s v="Software Engineer"/>
    <n v="3"/>
    <s v="Noida"/>
    <s v="Yes"/>
    <x v="0"/>
    <s v="No"/>
    <s v="No"/>
    <s v="No"/>
    <x v="0"/>
    <x v="0"/>
  </r>
  <r>
    <x v="139"/>
    <x v="3"/>
    <s v="HR Executive"/>
    <n v="4"/>
    <s v="Lucknow"/>
    <s v="Yes"/>
    <x v="0"/>
    <s v="No"/>
    <s v="No"/>
    <s v="No"/>
    <x v="0"/>
    <x v="0"/>
  </r>
  <r>
    <x v="140"/>
    <x v="1"/>
    <s v="Data Analyst"/>
    <n v="0"/>
    <s v="Gurugram"/>
    <s v="No"/>
    <x v="0"/>
    <s v="No"/>
    <s v="No"/>
    <s v="No"/>
    <x v="0"/>
    <x v="0"/>
  </r>
  <r>
    <x v="141"/>
    <x v="2"/>
    <s v="Business Analyst"/>
    <n v="0"/>
    <s v="Gurugram"/>
    <s v="Yes"/>
    <x v="1"/>
    <s v="Yes"/>
    <s v="Yes"/>
    <s v="Yes"/>
    <x v="1"/>
    <x v="1"/>
  </r>
  <r>
    <x v="142"/>
    <x v="1"/>
    <s v="Recruiter"/>
    <n v="5"/>
    <s v="Delhi"/>
    <s v="Yes"/>
    <x v="1"/>
    <s v="No"/>
    <s v="No"/>
    <s v="No"/>
    <x v="0"/>
    <x v="0"/>
  </r>
  <r>
    <x v="143"/>
    <x v="0"/>
    <s v="Data Analyst"/>
    <n v="4"/>
    <s v="Delhi"/>
    <s v="Yes"/>
    <x v="0"/>
    <s v="No"/>
    <s v="No"/>
    <s v="No"/>
    <x v="0"/>
    <x v="0"/>
  </r>
  <r>
    <x v="144"/>
    <x v="3"/>
    <s v="Business Analyst"/>
    <n v="6"/>
    <s v="Gurugram"/>
    <s v="No"/>
    <x v="0"/>
    <s v="No"/>
    <s v="No"/>
    <s v="No"/>
    <x v="0"/>
    <x v="0"/>
  </r>
  <r>
    <x v="145"/>
    <x v="0"/>
    <s v="Data Analyst"/>
    <n v="3"/>
    <s v="Noida"/>
    <s v="No"/>
    <x v="0"/>
    <s v="No"/>
    <s v="No"/>
    <s v="No"/>
    <x v="0"/>
    <x v="0"/>
  </r>
  <r>
    <x v="146"/>
    <x v="1"/>
    <s v="Software Engineer"/>
    <n v="5"/>
    <s v="Noida"/>
    <s v="Yes"/>
    <x v="1"/>
    <s v="No"/>
    <s v="No"/>
    <s v="No"/>
    <x v="0"/>
    <x v="0"/>
  </r>
  <r>
    <x v="147"/>
    <x v="2"/>
    <s v="Data Analyst"/>
    <n v="3"/>
    <s v="Pune"/>
    <s v="Yes"/>
    <x v="1"/>
    <s v="No"/>
    <s v="No"/>
    <s v="No"/>
    <x v="0"/>
    <x v="0"/>
  </r>
  <r>
    <x v="148"/>
    <x v="1"/>
    <s v="Business Analyst"/>
    <n v="3"/>
    <s v="Noida"/>
    <s v="Yes"/>
    <x v="0"/>
    <s v="No"/>
    <s v="No"/>
    <s v="No"/>
    <x v="0"/>
    <x v="0"/>
  </r>
  <r>
    <x v="149"/>
    <x v="2"/>
    <s v="Software Engineer"/>
    <n v="4"/>
    <s v="Bengaluru"/>
    <s v="Yes"/>
    <x v="0"/>
    <s v="No"/>
    <s v="No"/>
    <s v="No"/>
    <x v="0"/>
    <x v="0"/>
  </r>
  <r>
    <x v="150"/>
    <x v="1"/>
    <s v="Business Analyst"/>
    <n v="4"/>
    <s v="Noida"/>
    <s v="Yes"/>
    <x v="1"/>
    <s v="Yes"/>
    <s v="No"/>
    <s v="No"/>
    <x v="0"/>
    <x v="0"/>
  </r>
  <r>
    <x v="151"/>
    <x v="2"/>
    <s v="Business Analyst"/>
    <n v="1"/>
    <s v="Bengaluru"/>
    <s v="Yes"/>
    <x v="0"/>
    <s v="No"/>
    <s v="No"/>
    <s v="No"/>
    <x v="0"/>
    <x v="0"/>
  </r>
  <r>
    <x v="152"/>
    <x v="1"/>
    <s v="Business Analyst"/>
    <n v="0"/>
    <s v="Pune"/>
    <s v="Yes"/>
    <x v="1"/>
    <s v="No"/>
    <s v="No"/>
    <s v="No"/>
    <x v="0"/>
    <x v="0"/>
  </r>
  <r>
    <x v="153"/>
    <x v="1"/>
    <s v="Recruiter"/>
    <n v="1"/>
    <s v="Delhi"/>
    <s v="No"/>
    <x v="0"/>
    <s v="No"/>
    <s v="No"/>
    <s v="No"/>
    <x v="0"/>
    <x v="0"/>
  </r>
  <r>
    <x v="154"/>
    <x v="2"/>
    <s v="Recruiter"/>
    <n v="4"/>
    <s v="Noida"/>
    <s v="No"/>
    <x v="0"/>
    <s v="No"/>
    <s v="No"/>
    <s v="No"/>
    <x v="0"/>
    <x v="0"/>
  </r>
  <r>
    <x v="155"/>
    <x v="1"/>
    <s v="Business Analyst"/>
    <n v="3"/>
    <s v="Noida"/>
    <s v="No"/>
    <x v="0"/>
    <s v="No"/>
    <s v="No"/>
    <s v="No"/>
    <x v="0"/>
    <x v="0"/>
  </r>
  <r>
    <x v="156"/>
    <x v="1"/>
    <s v="Data Analyst"/>
    <n v="0"/>
    <s v="Delhi"/>
    <s v="No"/>
    <x v="0"/>
    <s v="No"/>
    <s v="No"/>
    <s v="No"/>
    <x v="0"/>
    <x v="0"/>
  </r>
  <r>
    <x v="157"/>
    <x v="1"/>
    <s v="Business Analyst"/>
    <n v="5"/>
    <s v="Gurugram"/>
    <s v="No"/>
    <x v="0"/>
    <s v="No"/>
    <s v="No"/>
    <s v="No"/>
    <x v="0"/>
    <x v="0"/>
  </r>
  <r>
    <x v="158"/>
    <x v="2"/>
    <s v="Recruiter"/>
    <n v="6"/>
    <s v="Gurugram"/>
    <s v="Yes"/>
    <x v="1"/>
    <s v="Yes"/>
    <s v="No"/>
    <s v="No"/>
    <x v="0"/>
    <x v="0"/>
  </r>
  <r>
    <x v="159"/>
    <x v="0"/>
    <s v="HR Executive"/>
    <n v="6"/>
    <s v="Bengaluru"/>
    <s v="No"/>
    <x v="0"/>
    <s v="No"/>
    <s v="No"/>
    <s v="No"/>
    <x v="0"/>
    <x v="0"/>
  </r>
  <r>
    <x v="160"/>
    <x v="1"/>
    <s v="Data Analyst"/>
    <n v="0"/>
    <s v="Pune"/>
    <s v="No"/>
    <x v="0"/>
    <s v="No"/>
    <s v="No"/>
    <s v="No"/>
    <x v="0"/>
    <x v="0"/>
  </r>
  <r>
    <x v="161"/>
    <x v="3"/>
    <s v="Software Engineer"/>
    <n v="1"/>
    <s v="Bengaluru"/>
    <s v="Yes"/>
    <x v="0"/>
    <s v="No"/>
    <s v="No"/>
    <s v="No"/>
    <x v="0"/>
    <x v="0"/>
  </r>
  <r>
    <x v="162"/>
    <x v="4"/>
    <s v="Recruiter"/>
    <n v="3"/>
    <s v="Lucknow"/>
    <s v="Yes"/>
    <x v="0"/>
    <s v="No"/>
    <s v="No"/>
    <s v="No"/>
    <x v="0"/>
    <x v="0"/>
  </r>
  <r>
    <x v="163"/>
    <x v="1"/>
    <s v="HR Executive"/>
    <n v="0"/>
    <s v="Delhi"/>
    <s v="No"/>
    <x v="0"/>
    <s v="No"/>
    <s v="No"/>
    <s v="No"/>
    <x v="0"/>
    <x v="0"/>
  </r>
  <r>
    <x v="164"/>
    <x v="1"/>
    <s v="HR Executive"/>
    <n v="5"/>
    <s v="Bengaluru"/>
    <s v="Yes"/>
    <x v="1"/>
    <s v="No"/>
    <s v="No"/>
    <s v="No"/>
    <x v="0"/>
    <x v="0"/>
  </r>
  <r>
    <x v="165"/>
    <x v="0"/>
    <s v="Software Engineer"/>
    <n v="5"/>
    <s v="Lucknow"/>
    <s v="No"/>
    <x v="0"/>
    <s v="No"/>
    <s v="No"/>
    <s v="No"/>
    <x v="0"/>
    <x v="0"/>
  </r>
  <r>
    <x v="166"/>
    <x v="0"/>
    <s v="Software Engineer"/>
    <n v="2"/>
    <s v="Lucknow"/>
    <s v="Yes"/>
    <x v="1"/>
    <s v="Yes"/>
    <s v="Yes"/>
    <s v="Yes"/>
    <x v="0"/>
    <x v="0"/>
  </r>
  <r>
    <x v="167"/>
    <x v="3"/>
    <s v="Software Engineer"/>
    <n v="5"/>
    <s v="Noida"/>
    <s v="Yes"/>
    <x v="1"/>
    <s v="No"/>
    <s v="No"/>
    <s v="No"/>
    <x v="0"/>
    <x v="0"/>
  </r>
  <r>
    <x v="168"/>
    <x v="4"/>
    <s v="Business Analyst"/>
    <n v="0"/>
    <s v="Bengaluru"/>
    <s v="Yes"/>
    <x v="0"/>
    <s v="No"/>
    <s v="No"/>
    <s v="No"/>
    <x v="0"/>
    <x v="0"/>
  </r>
  <r>
    <x v="169"/>
    <x v="4"/>
    <s v="Data Analyst"/>
    <n v="2"/>
    <s v="Delhi"/>
    <s v="No"/>
    <x v="0"/>
    <s v="No"/>
    <s v="No"/>
    <s v="No"/>
    <x v="0"/>
    <x v="0"/>
  </r>
  <r>
    <x v="170"/>
    <x v="2"/>
    <s v="Data Analyst"/>
    <n v="6"/>
    <s v="Pune"/>
    <s v="Yes"/>
    <x v="1"/>
    <s v="No"/>
    <s v="No"/>
    <s v="No"/>
    <x v="0"/>
    <x v="0"/>
  </r>
  <r>
    <x v="171"/>
    <x v="1"/>
    <s v="Data Analyst"/>
    <n v="4"/>
    <s v="Lucknow"/>
    <s v="Yes"/>
    <x v="0"/>
    <s v="No"/>
    <s v="No"/>
    <s v="No"/>
    <x v="0"/>
    <x v="0"/>
  </r>
  <r>
    <x v="172"/>
    <x v="4"/>
    <s v="HR Executive"/>
    <n v="6"/>
    <s v="Delhi"/>
    <s v="Yes"/>
    <x v="0"/>
    <s v="No"/>
    <s v="No"/>
    <s v="No"/>
    <x v="0"/>
    <x v="0"/>
  </r>
  <r>
    <x v="173"/>
    <x v="1"/>
    <s v="Recruiter"/>
    <n v="6"/>
    <s v="Delhi"/>
    <s v="Yes"/>
    <x v="1"/>
    <s v="Yes"/>
    <s v="Yes"/>
    <s v="Yes"/>
    <x v="1"/>
    <x v="1"/>
  </r>
  <r>
    <x v="174"/>
    <x v="3"/>
    <s v="Recruiter"/>
    <n v="4"/>
    <s v="Lucknow"/>
    <s v="Yes"/>
    <x v="1"/>
    <s v="No"/>
    <s v="No"/>
    <s v="No"/>
    <x v="0"/>
    <x v="0"/>
  </r>
  <r>
    <x v="175"/>
    <x v="0"/>
    <s v="Software Engineer"/>
    <n v="5"/>
    <s v="Pune"/>
    <s v="Yes"/>
    <x v="0"/>
    <s v="No"/>
    <s v="No"/>
    <s v="No"/>
    <x v="0"/>
    <x v="0"/>
  </r>
  <r>
    <x v="176"/>
    <x v="1"/>
    <s v="Software Engineer"/>
    <n v="6"/>
    <s v="Gurugram"/>
    <s v="Yes"/>
    <x v="1"/>
    <s v="No"/>
    <s v="No"/>
    <s v="No"/>
    <x v="0"/>
    <x v="0"/>
  </r>
  <r>
    <x v="177"/>
    <x v="3"/>
    <s v="Software Engineer"/>
    <n v="2"/>
    <s v="Pune"/>
    <s v="Yes"/>
    <x v="1"/>
    <s v="No"/>
    <s v="No"/>
    <s v="No"/>
    <x v="0"/>
    <x v="0"/>
  </r>
  <r>
    <x v="178"/>
    <x v="3"/>
    <s v="Business Analyst"/>
    <n v="3"/>
    <s v="Pune"/>
    <s v="Yes"/>
    <x v="1"/>
    <s v="No"/>
    <s v="No"/>
    <s v="No"/>
    <x v="0"/>
    <x v="0"/>
  </r>
  <r>
    <x v="179"/>
    <x v="1"/>
    <s v="Business Analyst"/>
    <n v="6"/>
    <s v="Bengaluru"/>
    <s v="Yes"/>
    <x v="0"/>
    <s v="No"/>
    <s v="No"/>
    <s v="No"/>
    <x v="0"/>
    <x v="0"/>
  </r>
  <r>
    <x v="180"/>
    <x v="0"/>
    <s v="Data Analyst"/>
    <n v="3"/>
    <s v="Delhi"/>
    <s v="Yes"/>
    <x v="0"/>
    <s v="No"/>
    <s v="No"/>
    <s v="No"/>
    <x v="0"/>
    <x v="0"/>
  </r>
  <r>
    <x v="181"/>
    <x v="3"/>
    <s v="Business Analyst"/>
    <n v="2"/>
    <s v="Gurugram"/>
    <s v="Yes"/>
    <x v="1"/>
    <s v="No"/>
    <s v="No"/>
    <s v="No"/>
    <x v="0"/>
    <x v="0"/>
  </r>
  <r>
    <x v="182"/>
    <x v="0"/>
    <s v="HR Executive"/>
    <n v="0"/>
    <s v="Lucknow"/>
    <s v="Yes"/>
    <x v="1"/>
    <s v="No"/>
    <s v="No"/>
    <s v="No"/>
    <x v="0"/>
    <x v="0"/>
  </r>
  <r>
    <x v="183"/>
    <x v="2"/>
    <s v="HR Executive"/>
    <n v="4"/>
    <s v="Pune"/>
    <s v="Yes"/>
    <x v="0"/>
    <s v="No"/>
    <s v="No"/>
    <s v="No"/>
    <x v="0"/>
    <x v="0"/>
  </r>
  <r>
    <x v="184"/>
    <x v="3"/>
    <s v="Software Engineer"/>
    <n v="6"/>
    <s v="Gurugram"/>
    <s v="No"/>
    <x v="0"/>
    <s v="No"/>
    <s v="No"/>
    <s v="No"/>
    <x v="0"/>
    <x v="0"/>
  </r>
  <r>
    <x v="185"/>
    <x v="0"/>
    <s v="Software Engineer"/>
    <n v="4"/>
    <s v="Noida"/>
    <s v="Yes"/>
    <x v="0"/>
    <s v="No"/>
    <s v="No"/>
    <s v="No"/>
    <x v="0"/>
    <x v="0"/>
  </r>
  <r>
    <x v="186"/>
    <x v="1"/>
    <s v="Business Analyst"/>
    <n v="1"/>
    <s v="Lucknow"/>
    <s v="Yes"/>
    <x v="0"/>
    <s v="No"/>
    <s v="No"/>
    <s v="No"/>
    <x v="0"/>
    <x v="0"/>
  </r>
  <r>
    <x v="187"/>
    <x v="1"/>
    <s v="Recruiter"/>
    <n v="1"/>
    <s v="Gurugram"/>
    <s v="No"/>
    <x v="0"/>
    <s v="No"/>
    <s v="No"/>
    <s v="No"/>
    <x v="0"/>
    <x v="0"/>
  </r>
  <r>
    <x v="188"/>
    <x v="4"/>
    <s v="Business Analyst"/>
    <n v="4"/>
    <s v="Bengaluru"/>
    <s v="Yes"/>
    <x v="1"/>
    <s v="No"/>
    <s v="No"/>
    <s v="No"/>
    <x v="0"/>
    <x v="0"/>
  </r>
  <r>
    <x v="189"/>
    <x v="2"/>
    <s v="Recruiter"/>
    <n v="1"/>
    <s v="Noida"/>
    <s v="Yes"/>
    <x v="1"/>
    <s v="Yes"/>
    <s v="Yes"/>
    <s v="Yes"/>
    <x v="1"/>
    <x v="1"/>
  </r>
  <r>
    <x v="190"/>
    <x v="1"/>
    <s v="HR Executive"/>
    <n v="0"/>
    <s v="Lucknow"/>
    <s v="No"/>
    <x v="0"/>
    <s v="No"/>
    <s v="No"/>
    <s v="No"/>
    <x v="0"/>
    <x v="0"/>
  </r>
  <r>
    <x v="191"/>
    <x v="1"/>
    <s v="Recruiter"/>
    <n v="2"/>
    <s v="Delhi"/>
    <s v="Yes"/>
    <x v="0"/>
    <s v="No"/>
    <s v="No"/>
    <s v="No"/>
    <x v="0"/>
    <x v="0"/>
  </r>
  <r>
    <x v="192"/>
    <x v="2"/>
    <s v="HR Executive"/>
    <n v="0"/>
    <s v="Lucknow"/>
    <s v="Yes"/>
    <x v="0"/>
    <s v="No"/>
    <s v="No"/>
    <s v="No"/>
    <x v="0"/>
    <x v="0"/>
  </r>
  <r>
    <x v="193"/>
    <x v="1"/>
    <s v="Data Analyst"/>
    <n v="3"/>
    <s v="Bengaluru"/>
    <s v="Yes"/>
    <x v="0"/>
    <s v="No"/>
    <s v="No"/>
    <s v="No"/>
    <x v="0"/>
    <x v="0"/>
  </r>
  <r>
    <x v="194"/>
    <x v="3"/>
    <s v="Data Analyst"/>
    <n v="4"/>
    <s v="Lucknow"/>
    <s v="Yes"/>
    <x v="1"/>
    <s v="No"/>
    <s v="No"/>
    <s v="No"/>
    <x v="0"/>
    <x v="0"/>
  </r>
  <r>
    <x v="195"/>
    <x v="3"/>
    <s v="HR Executive"/>
    <n v="2"/>
    <s v="Lucknow"/>
    <s v="Yes"/>
    <x v="0"/>
    <s v="No"/>
    <s v="No"/>
    <s v="No"/>
    <x v="0"/>
    <x v="0"/>
  </r>
  <r>
    <x v="196"/>
    <x v="1"/>
    <s v="Data Analyst"/>
    <n v="1"/>
    <s v="Delhi"/>
    <s v="No"/>
    <x v="0"/>
    <s v="No"/>
    <s v="No"/>
    <s v="No"/>
    <x v="0"/>
    <x v="0"/>
  </r>
  <r>
    <x v="197"/>
    <x v="1"/>
    <s v="Data Analyst"/>
    <n v="3"/>
    <s v="Bengaluru"/>
    <s v="Yes"/>
    <x v="1"/>
    <s v="Yes"/>
    <s v="Yes"/>
    <s v="Yes"/>
    <x v="1"/>
    <x v="1"/>
  </r>
  <r>
    <x v="198"/>
    <x v="3"/>
    <s v="Business Analyst"/>
    <n v="3"/>
    <s v="Lucknow"/>
    <s v="Yes"/>
    <x v="1"/>
    <s v="Yes"/>
    <s v="Yes"/>
    <s v="Yes"/>
    <x v="1"/>
    <x v="1"/>
  </r>
  <r>
    <x v="199"/>
    <x v="3"/>
    <s v="Software Engineer"/>
    <n v="1"/>
    <s v="Pune"/>
    <s v="Yes"/>
    <x v="0"/>
    <s v="No"/>
    <s v="No"/>
    <s v="No"/>
    <x v="0"/>
    <x v="0"/>
  </r>
  <r>
    <x v="200"/>
    <x v="3"/>
    <s v="Recruiter"/>
    <n v="0"/>
    <s v="Delhi"/>
    <s v="Yes"/>
    <x v="1"/>
    <s v="Yes"/>
    <s v="No"/>
    <s v="No"/>
    <x v="0"/>
    <x v="0"/>
  </r>
  <r>
    <x v="201"/>
    <x v="0"/>
    <s v="Data Analyst"/>
    <n v="6"/>
    <s v="Delhi"/>
    <s v="Yes"/>
    <x v="0"/>
    <s v="No"/>
    <s v="No"/>
    <s v="No"/>
    <x v="0"/>
    <x v="0"/>
  </r>
  <r>
    <x v="202"/>
    <x v="3"/>
    <s v="Data Analyst"/>
    <n v="6"/>
    <s v="Noida"/>
    <s v="Yes"/>
    <x v="0"/>
    <s v="No"/>
    <s v="No"/>
    <s v="No"/>
    <x v="0"/>
    <x v="0"/>
  </r>
  <r>
    <x v="203"/>
    <x v="0"/>
    <s v="Data Analyst"/>
    <n v="0"/>
    <s v="Delhi"/>
    <s v="Yes"/>
    <x v="1"/>
    <s v="Yes"/>
    <s v="No"/>
    <s v="No"/>
    <x v="0"/>
    <x v="0"/>
  </r>
  <r>
    <x v="204"/>
    <x v="1"/>
    <s v="Software Engineer"/>
    <n v="5"/>
    <s v="Gurugram"/>
    <s v="Yes"/>
    <x v="0"/>
    <s v="No"/>
    <s v="No"/>
    <s v="No"/>
    <x v="0"/>
    <x v="0"/>
  </r>
  <r>
    <x v="205"/>
    <x v="3"/>
    <s v="Business Analyst"/>
    <n v="4"/>
    <s v="Bengaluru"/>
    <s v="Yes"/>
    <x v="0"/>
    <s v="No"/>
    <s v="No"/>
    <s v="No"/>
    <x v="0"/>
    <x v="0"/>
  </r>
  <r>
    <x v="206"/>
    <x v="2"/>
    <s v="HR Executive"/>
    <n v="1"/>
    <s v="Gurugram"/>
    <s v="Yes"/>
    <x v="1"/>
    <s v="Yes"/>
    <s v="Yes"/>
    <s v="Yes"/>
    <x v="1"/>
    <x v="1"/>
  </r>
  <r>
    <x v="207"/>
    <x v="3"/>
    <s v="Data Analyst"/>
    <n v="6"/>
    <s v="Noida"/>
    <s v="Yes"/>
    <x v="0"/>
    <s v="No"/>
    <s v="No"/>
    <s v="No"/>
    <x v="0"/>
    <x v="0"/>
  </r>
  <r>
    <x v="208"/>
    <x v="2"/>
    <s v="HR Executive"/>
    <n v="4"/>
    <s v="Gurugram"/>
    <s v="Yes"/>
    <x v="0"/>
    <s v="No"/>
    <s v="No"/>
    <s v="No"/>
    <x v="0"/>
    <x v="0"/>
  </r>
  <r>
    <x v="209"/>
    <x v="2"/>
    <s v="Software Engineer"/>
    <n v="3"/>
    <s v="Pune"/>
    <s v="Yes"/>
    <x v="1"/>
    <s v="Yes"/>
    <s v="Yes"/>
    <s v="Yes"/>
    <x v="1"/>
    <x v="0"/>
  </r>
  <r>
    <x v="210"/>
    <x v="1"/>
    <s v="Business Analyst"/>
    <n v="4"/>
    <s v="Bengaluru"/>
    <s v="Yes"/>
    <x v="1"/>
    <s v="Yes"/>
    <s v="Yes"/>
    <s v="Yes"/>
    <x v="1"/>
    <x v="1"/>
  </r>
  <r>
    <x v="211"/>
    <x v="1"/>
    <s v="Recruiter"/>
    <n v="2"/>
    <s v="Bengaluru"/>
    <s v="Yes"/>
    <x v="0"/>
    <s v="No"/>
    <s v="No"/>
    <s v="No"/>
    <x v="0"/>
    <x v="0"/>
  </r>
  <r>
    <x v="212"/>
    <x v="0"/>
    <s v="Data Analyst"/>
    <n v="0"/>
    <s v="Pune"/>
    <s v="Yes"/>
    <x v="1"/>
    <s v="No"/>
    <s v="No"/>
    <s v="No"/>
    <x v="0"/>
    <x v="0"/>
  </r>
  <r>
    <x v="213"/>
    <x v="0"/>
    <s v="Software Engineer"/>
    <n v="6"/>
    <s v="Delhi"/>
    <s v="Yes"/>
    <x v="0"/>
    <s v="No"/>
    <s v="No"/>
    <s v="No"/>
    <x v="0"/>
    <x v="0"/>
  </r>
  <r>
    <x v="214"/>
    <x v="1"/>
    <s v="Recruiter"/>
    <n v="5"/>
    <s v="Bengaluru"/>
    <s v="Yes"/>
    <x v="1"/>
    <s v="No"/>
    <s v="No"/>
    <s v="No"/>
    <x v="0"/>
    <x v="0"/>
  </r>
  <r>
    <x v="215"/>
    <x v="1"/>
    <s v="HR Executive"/>
    <n v="5"/>
    <s v="Noida"/>
    <s v="No"/>
    <x v="0"/>
    <s v="No"/>
    <s v="No"/>
    <s v="No"/>
    <x v="0"/>
    <x v="0"/>
  </r>
  <r>
    <x v="216"/>
    <x v="0"/>
    <s v="Business Analyst"/>
    <n v="5"/>
    <s v="Bengaluru"/>
    <s v="No"/>
    <x v="0"/>
    <s v="No"/>
    <s v="No"/>
    <s v="No"/>
    <x v="0"/>
    <x v="0"/>
  </r>
  <r>
    <x v="217"/>
    <x v="1"/>
    <s v="Business Analyst"/>
    <n v="4"/>
    <s v="Noida"/>
    <s v="Yes"/>
    <x v="1"/>
    <s v="No"/>
    <s v="No"/>
    <s v="No"/>
    <x v="0"/>
    <x v="0"/>
  </r>
  <r>
    <x v="218"/>
    <x v="1"/>
    <s v="Business Analyst"/>
    <n v="1"/>
    <s v="Delhi"/>
    <s v="No"/>
    <x v="0"/>
    <s v="No"/>
    <s v="No"/>
    <s v="No"/>
    <x v="0"/>
    <x v="0"/>
  </r>
  <r>
    <x v="219"/>
    <x v="1"/>
    <s v="Recruiter"/>
    <n v="6"/>
    <s v="Lucknow"/>
    <s v="Yes"/>
    <x v="1"/>
    <s v="No"/>
    <s v="No"/>
    <s v="No"/>
    <x v="0"/>
    <x v="0"/>
  </r>
  <r>
    <x v="220"/>
    <x v="3"/>
    <s v="Business Analyst"/>
    <n v="6"/>
    <s v="Pune"/>
    <s v="Yes"/>
    <x v="1"/>
    <s v="Yes"/>
    <s v="No"/>
    <s v="No"/>
    <x v="0"/>
    <x v="0"/>
  </r>
  <r>
    <x v="221"/>
    <x v="2"/>
    <s v="Business Analyst"/>
    <n v="1"/>
    <s v="Bengaluru"/>
    <s v="Yes"/>
    <x v="1"/>
    <s v="No"/>
    <s v="No"/>
    <s v="No"/>
    <x v="0"/>
    <x v="0"/>
  </r>
  <r>
    <x v="222"/>
    <x v="1"/>
    <s v="Recruiter"/>
    <n v="2"/>
    <s v="Bengaluru"/>
    <s v="No"/>
    <x v="0"/>
    <s v="No"/>
    <s v="No"/>
    <s v="No"/>
    <x v="0"/>
    <x v="0"/>
  </r>
  <r>
    <x v="223"/>
    <x v="1"/>
    <s v="Data Analyst"/>
    <n v="6"/>
    <s v="Gurugram"/>
    <s v="No"/>
    <x v="0"/>
    <s v="No"/>
    <s v="No"/>
    <s v="No"/>
    <x v="0"/>
    <x v="0"/>
  </r>
  <r>
    <x v="224"/>
    <x v="1"/>
    <s v="Business Analyst"/>
    <n v="4"/>
    <s v="Gurugram"/>
    <s v="Yes"/>
    <x v="1"/>
    <s v="Yes"/>
    <s v="No"/>
    <s v="No"/>
    <x v="0"/>
    <x v="0"/>
  </r>
  <r>
    <x v="225"/>
    <x v="4"/>
    <s v="Business Analyst"/>
    <n v="6"/>
    <s v="Pune"/>
    <s v="Yes"/>
    <x v="1"/>
    <s v="No"/>
    <s v="No"/>
    <s v="No"/>
    <x v="0"/>
    <x v="0"/>
  </r>
  <r>
    <x v="226"/>
    <x v="2"/>
    <s v="HR Executive"/>
    <n v="0"/>
    <s v="Bengaluru"/>
    <s v="No"/>
    <x v="0"/>
    <s v="No"/>
    <s v="No"/>
    <s v="No"/>
    <x v="0"/>
    <x v="0"/>
  </r>
  <r>
    <x v="227"/>
    <x v="2"/>
    <s v="Recruiter"/>
    <n v="6"/>
    <s v="Delhi"/>
    <s v="Yes"/>
    <x v="0"/>
    <s v="No"/>
    <s v="No"/>
    <s v="No"/>
    <x v="0"/>
    <x v="0"/>
  </r>
  <r>
    <x v="228"/>
    <x v="1"/>
    <s v="Recruiter"/>
    <n v="1"/>
    <s v="Gurugram"/>
    <s v="No"/>
    <x v="0"/>
    <s v="No"/>
    <s v="No"/>
    <s v="No"/>
    <x v="0"/>
    <x v="0"/>
  </r>
  <r>
    <x v="229"/>
    <x v="4"/>
    <s v="Recruiter"/>
    <n v="3"/>
    <s v="Pune"/>
    <s v="Yes"/>
    <x v="1"/>
    <s v="Yes"/>
    <s v="Yes"/>
    <s v="Yes"/>
    <x v="1"/>
    <x v="1"/>
  </r>
  <r>
    <x v="230"/>
    <x v="1"/>
    <s v="Data Analyst"/>
    <n v="0"/>
    <s v="Noida"/>
    <s v="No"/>
    <x v="0"/>
    <s v="No"/>
    <s v="No"/>
    <s v="No"/>
    <x v="0"/>
    <x v="0"/>
  </r>
  <r>
    <x v="231"/>
    <x v="3"/>
    <s v="Business Analyst"/>
    <n v="6"/>
    <s v="Bengaluru"/>
    <s v="Yes"/>
    <x v="0"/>
    <s v="No"/>
    <s v="No"/>
    <s v="No"/>
    <x v="0"/>
    <x v="0"/>
  </r>
  <r>
    <x v="232"/>
    <x v="4"/>
    <s v="Data Analyst"/>
    <n v="1"/>
    <s v="Delhi"/>
    <s v="Yes"/>
    <x v="0"/>
    <s v="No"/>
    <s v="No"/>
    <s v="No"/>
    <x v="0"/>
    <x v="0"/>
  </r>
  <r>
    <x v="233"/>
    <x v="3"/>
    <s v="Data Analyst"/>
    <n v="2"/>
    <s v="Delhi"/>
    <s v="Yes"/>
    <x v="1"/>
    <s v="Yes"/>
    <s v="No"/>
    <s v="No"/>
    <x v="0"/>
    <x v="0"/>
  </r>
  <r>
    <x v="234"/>
    <x v="3"/>
    <s v="Data Analyst"/>
    <n v="3"/>
    <s v="Pune"/>
    <s v="Yes"/>
    <x v="0"/>
    <s v="No"/>
    <s v="No"/>
    <s v="No"/>
    <x v="0"/>
    <x v="0"/>
  </r>
  <r>
    <x v="235"/>
    <x v="3"/>
    <s v="Business Analyst"/>
    <n v="2"/>
    <s v="Gurugram"/>
    <s v="Yes"/>
    <x v="1"/>
    <s v="Yes"/>
    <s v="Yes"/>
    <s v="Yes"/>
    <x v="1"/>
    <x v="1"/>
  </r>
  <r>
    <x v="236"/>
    <x v="4"/>
    <s v="HR Executive"/>
    <n v="6"/>
    <s v="Pune"/>
    <s v="Yes"/>
    <x v="1"/>
    <s v="Yes"/>
    <s v="No"/>
    <s v="No"/>
    <x v="0"/>
    <x v="0"/>
  </r>
  <r>
    <x v="237"/>
    <x v="4"/>
    <s v="Recruiter"/>
    <n v="0"/>
    <s v="Noida"/>
    <s v="No"/>
    <x v="0"/>
    <s v="No"/>
    <s v="No"/>
    <s v="No"/>
    <x v="0"/>
    <x v="0"/>
  </r>
  <r>
    <x v="238"/>
    <x v="1"/>
    <s v="Business Analyst"/>
    <n v="5"/>
    <s v="Lucknow"/>
    <s v="No"/>
    <x v="0"/>
    <s v="No"/>
    <s v="No"/>
    <s v="No"/>
    <x v="0"/>
    <x v="0"/>
  </r>
  <r>
    <x v="239"/>
    <x v="0"/>
    <s v="Recruiter"/>
    <n v="0"/>
    <s v="Noida"/>
    <s v="Yes"/>
    <x v="0"/>
    <s v="No"/>
    <s v="No"/>
    <s v="No"/>
    <x v="0"/>
    <x v="0"/>
  </r>
  <r>
    <x v="240"/>
    <x v="1"/>
    <s v="Business Analyst"/>
    <n v="3"/>
    <s v="Bengaluru"/>
    <s v="Yes"/>
    <x v="1"/>
    <s v="Yes"/>
    <s v="No"/>
    <s v="No"/>
    <x v="0"/>
    <x v="0"/>
  </r>
  <r>
    <x v="241"/>
    <x v="4"/>
    <s v="Data Analyst"/>
    <n v="1"/>
    <s v="Lucknow"/>
    <s v="No"/>
    <x v="0"/>
    <s v="No"/>
    <s v="No"/>
    <s v="No"/>
    <x v="0"/>
    <x v="0"/>
  </r>
  <r>
    <x v="242"/>
    <x v="2"/>
    <s v="Recruiter"/>
    <n v="2"/>
    <s v="Pune"/>
    <s v="Yes"/>
    <x v="0"/>
    <s v="No"/>
    <s v="No"/>
    <s v="No"/>
    <x v="0"/>
    <x v="0"/>
  </r>
  <r>
    <x v="243"/>
    <x v="3"/>
    <s v="Data Analyst"/>
    <n v="5"/>
    <s v="Delhi"/>
    <s v="Yes"/>
    <x v="0"/>
    <s v="No"/>
    <s v="No"/>
    <s v="No"/>
    <x v="0"/>
    <x v="0"/>
  </r>
  <r>
    <x v="244"/>
    <x v="1"/>
    <s v="Business Analyst"/>
    <n v="2"/>
    <s v="Lucknow"/>
    <s v="No"/>
    <x v="0"/>
    <s v="No"/>
    <s v="No"/>
    <s v="No"/>
    <x v="0"/>
    <x v="0"/>
  </r>
  <r>
    <x v="245"/>
    <x v="3"/>
    <s v="Recruiter"/>
    <n v="3"/>
    <s v="Gurugram"/>
    <s v="Yes"/>
    <x v="1"/>
    <s v="No"/>
    <s v="No"/>
    <s v="No"/>
    <x v="0"/>
    <x v="0"/>
  </r>
  <r>
    <x v="246"/>
    <x v="3"/>
    <s v="Business Analyst"/>
    <n v="2"/>
    <s v="Lucknow"/>
    <s v="No"/>
    <x v="0"/>
    <s v="No"/>
    <s v="No"/>
    <s v="No"/>
    <x v="0"/>
    <x v="0"/>
  </r>
  <r>
    <x v="247"/>
    <x v="1"/>
    <s v="HR Executive"/>
    <n v="6"/>
    <s v="Delhi"/>
    <s v="Yes"/>
    <x v="1"/>
    <s v="Yes"/>
    <s v="No"/>
    <s v="No"/>
    <x v="0"/>
    <x v="0"/>
  </r>
  <r>
    <x v="248"/>
    <x v="1"/>
    <s v="HR Executive"/>
    <n v="3"/>
    <s v="Delhi"/>
    <s v="Yes"/>
    <x v="1"/>
    <s v="Yes"/>
    <s v="No"/>
    <s v="No"/>
    <x v="0"/>
    <x v="0"/>
  </r>
  <r>
    <x v="249"/>
    <x v="3"/>
    <s v="Software Engineer"/>
    <n v="2"/>
    <s v="Bengaluru"/>
    <s v="No"/>
    <x v="0"/>
    <s v="No"/>
    <s v="No"/>
    <s v="No"/>
    <x v="0"/>
    <x v="0"/>
  </r>
  <r>
    <x v="250"/>
    <x v="4"/>
    <s v="Data Analyst"/>
    <n v="5"/>
    <s v="Gurugram"/>
    <s v="Yes"/>
    <x v="0"/>
    <s v="No"/>
    <s v="No"/>
    <s v="No"/>
    <x v="0"/>
    <x v="0"/>
  </r>
  <r>
    <x v="251"/>
    <x v="0"/>
    <s v="Software Engineer"/>
    <n v="1"/>
    <s v="Pune"/>
    <s v="Yes"/>
    <x v="1"/>
    <s v="Yes"/>
    <s v="Yes"/>
    <s v="Yes"/>
    <x v="1"/>
    <x v="0"/>
  </r>
  <r>
    <x v="252"/>
    <x v="1"/>
    <s v="Data Analyst"/>
    <n v="3"/>
    <s v="Noida"/>
    <s v="Yes"/>
    <x v="0"/>
    <s v="No"/>
    <s v="No"/>
    <s v="No"/>
    <x v="0"/>
    <x v="0"/>
  </r>
  <r>
    <x v="253"/>
    <x v="3"/>
    <s v="HR Executive"/>
    <n v="3"/>
    <s v="Noida"/>
    <s v="Yes"/>
    <x v="1"/>
    <s v="Yes"/>
    <s v="No"/>
    <s v="No"/>
    <x v="0"/>
    <x v="0"/>
  </r>
  <r>
    <x v="254"/>
    <x v="3"/>
    <s v="Recruiter"/>
    <n v="4"/>
    <s v="Lucknow"/>
    <s v="Yes"/>
    <x v="1"/>
    <s v="Yes"/>
    <s v="No"/>
    <s v="No"/>
    <x v="0"/>
    <x v="0"/>
  </r>
  <r>
    <x v="255"/>
    <x v="1"/>
    <s v="Software Engineer"/>
    <n v="3"/>
    <s v="Delhi"/>
    <s v="Yes"/>
    <x v="0"/>
    <s v="No"/>
    <s v="No"/>
    <s v="No"/>
    <x v="0"/>
    <x v="0"/>
  </r>
  <r>
    <x v="256"/>
    <x v="3"/>
    <s v="Software Engineer"/>
    <n v="3"/>
    <s v="Lucknow"/>
    <s v="No"/>
    <x v="0"/>
    <s v="No"/>
    <s v="No"/>
    <s v="No"/>
    <x v="0"/>
    <x v="0"/>
  </r>
  <r>
    <x v="257"/>
    <x v="4"/>
    <s v="Software Engineer"/>
    <n v="5"/>
    <s v="Noida"/>
    <s v="Yes"/>
    <x v="1"/>
    <s v="Yes"/>
    <s v="Yes"/>
    <s v="Yes"/>
    <x v="1"/>
    <x v="1"/>
  </r>
  <r>
    <x v="258"/>
    <x v="1"/>
    <s v="Recruiter"/>
    <n v="1"/>
    <s v="Lucknow"/>
    <s v="No"/>
    <x v="0"/>
    <s v="No"/>
    <s v="No"/>
    <s v="No"/>
    <x v="0"/>
    <x v="0"/>
  </r>
  <r>
    <x v="259"/>
    <x v="2"/>
    <s v="Data Analyst"/>
    <n v="3"/>
    <s v="Lucknow"/>
    <s v="Yes"/>
    <x v="0"/>
    <s v="No"/>
    <s v="No"/>
    <s v="No"/>
    <x v="0"/>
    <x v="0"/>
  </r>
  <r>
    <x v="260"/>
    <x v="3"/>
    <s v="Software Engineer"/>
    <n v="1"/>
    <s v="Pune"/>
    <s v="No"/>
    <x v="0"/>
    <s v="No"/>
    <s v="No"/>
    <s v="No"/>
    <x v="0"/>
    <x v="0"/>
  </r>
  <r>
    <x v="261"/>
    <x v="1"/>
    <s v="Recruiter"/>
    <n v="5"/>
    <s v="Bengaluru"/>
    <s v="Yes"/>
    <x v="1"/>
    <s v="Yes"/>
    <s v="No"/>
    <s v="No"/>
    <x v="0"/>
    <x v="0"/>
  </r>
  <r>
    <x v="262"/>
    <x v="1"/>
    <s v="Recruiter"/>
    <n v="0"/>
    <s v="Gurugram"/>
    <s v="Yes"/>
    <x v="1"/>
    <s v="Yes"/>
    <s v="No"/>
    <s v="No"/>
    <x v="0"/>
    <x v="0"/>
  </r>
  <r>
    <x v="263"/>
    <x v="3"/>
    <s v="HR Executive"/>
    <n v="6"/>
    <s v="Delhi"/>
    <s v="Yes"/>
    <x v="0"/>
    <s v="No"/>
    <s v="No"/>
    <s v="No"/>
    <x v="0"/>
    <x v="0"/>
  </r>
  <r>
    <x v="264"/>
    <x v="1"/>
    <s v="Data Analyst"/>
    <n v="1"/>
    <s v="Noida"/>
    <s v="Yes"/>
    <x v="1"/>
    <s v="No"/>
    <s v="No"/>
    <s v="No"/>
    <x v="0"/>
    <x v="0"/>
  </r>
  <r>
    <x v="265"/>
    <x v="1"/>
    <s v="Software Engineer"/>
    <n v="2"/>
    <s v="Lucknow"/>
    <s v="Yes"/>
    <x v="0"/>
    <s v="No"/>
    <s v="No"/>
    <s v="No"/>
    <x v="0"/>
    <x v="0"/>
  </r>
  <r>
    <x v="266"/>
    <x v="3"/>
    <s v="Data Analyst"/>
    <n v="2"/>
    <s v="Pune"/>
    <s v="Yes"/>
    <x v="1"/>
    <s v="Yes"/>
    <s v="No"/>
    <s v="No"/>
    <x v="0"/>
    <x v="0"/>
  </r>
  <r>
    <x v="267"/>
    <x v="1"/>
    <s v="Business Analyst"/>
    <n v="5"/>
    <s v="Pune"/>
    <s v="Yes"/>
    <x v="0"/>
    <s v="No"/>
    <s v="No"/>
    <s v="No"/>
    <x v="0"/>
    <x v="0"/>
  </r>
  <r>
    <x v="268"/>
    <x v="1"/>
    <s v="Software Engineer"/>
    <n v="0"/>
    <s v="Lucknow"/>
    <s v="No"/>
    <x v="0"/>
    <s v="No"/>
    <s v="No"/>
    <s v="No"/>
    <x v="0"/>
    <x v="0"/>
  </r>
  <r>
    <x v="269"/>
    <x v="2"/>
    <s v="Recruiter"/>
    <n v="1"/>
    <s v="Pune"/>
    <s v="Yes"/>
    <x v="0"/>
    <s v="No"/>
    <s v="No"/>
    <s v="No"/>
    <x v="0"/>
    <x v="0"/>
  </r>
  <r>
    <x v="270"/>
    <x v="3"/>
    <s v="HR Executive"/>
    <n v="2"/>
    <s v="Bengaluru"/>
    <s v="No"/>
    <x v="0"/>
    <s v="No"/>
    <s v="No"/>
    <s v="No"/>
    <x v="0"/>
    <x v="0"/>
  </r>
  <r>
    <x v="271"/>
    <x v="3"/>
    <s v="Business Analyst"/>
    <n v="5"/>
    <s v="Gurugram"/>
    <s v="Yes"/>
    <x v="1"/>
    <s v="Yes"/>
    <s v="Yes"/>
    <s v="Yes"/>
    <x v="1"/>
    <x v="1"/>
  </r>
  <r>
    <x v="272"/>
    <x v="1"/>
    <s v="Business Analyst"/>
    <n v="5"/>
    <s v="Noida"/>
    <s v="No"/>
    <x v="0"/>
    <s v="No"/>
    <s v="No"/>
    <s v="No"/>
    <x v="0"/>
    <x v="0"/>
  </r>
  <r>
    <x v="273"/>
    <x v="1"/>
    <s v="Recruiter"/>
    <n v="4"/>
    <s v="Lucknow"/>
    <s v="Yes"/>
    <x v="1"/>
    <s v="Yes"/>
    <s v="Yes"/>
    <s v="Yes"/>
    <x v="1"/>
    <x v="1"/>
  </r>
  <r>
    <x v="274"/>
    <x v="0"/>
    <s v="Data Analyst"/>
    <n v="6"/>
    <s v="Delhi"/>
    <s v="No"/>
    <x v="0"/>
    <s v="No"/>
    <s v="No"/>
    <s v="No"/>
    <x v="0"/>
    <x v="0"/>
  </r>
  <r>
    <x v="275"/>
    <x v="4"/>
    <s v="Business Analyst"/>
    <n v="1"/>
    <s v="Delhi"/>
    <s v="Yes"/>
    <x v="1"/>
    <s v="Yes"/>
    <s v="Yes"/>
    <s v="Yes"/>
    <x v="0"/>
    <x v="0"/>
  </r>
  <r>
    <x v="276"/>
    <x v="3"/>
    <s v="Software Engineer"/>
    <n v="1"/>
    <s v="Pune"/>
    <s v="Yes"/>
    <x v="1"/>
    <s v="Yes"/>
    <s v="No"/>
    <s v="No"/>
    <x v="0"/>
    <x v="0"/>
  </r>
  <r>
    <x v="277"/>
    <x v="0"/>
    <s v="HR Executive"/>
    <n v="4"/>
    <s v="Lucknow"/>
    <s v="No"/>
    <x v="0"/>
    <s v="No"/>
    <s v="No"/>
    <s v="No"/>
    <x v="0"/>
    <x v="0"/>
  </r>
  <r>
    <x v="278"/>
    <x v="3"/>
    <s v="Software Engineer"/>
    <n v="5"/>
    <s v="Noida"/>
    <s v="No"/>
    <x v="0"/>
    <s v="No"/>
    <s v="No"/>
    <s v="No"/>
    <x v="0"/>
    <x v="0"/>
  </r>
  <r>
    <x v="279"/>
    <x v="3"/>
    <s v="Recruiter"/>
    <n v="4"/>
    <s v="Pune"/>
    <s v="Yes"/>
    <x v="0"/>
    <s v="No"/>
    <s v="No"/>
    <s v="No"/>
    <x v="0"/>
    <x v="0"/>
  </r>
  <r>
    <x v="280"/>
    <x v="1"/>
    <s v="HR Executive"/>
    <n v="6"/>
    <s v="Pune"/>
    <s v="Yes"/>
    <x v="0"/>
    <s v="No"/>
    <s v="No"/>
    <s v="No"/>
    <x v="0"/>
    <x v="0"/>
  </r>
  <r>
    <x v="281"/>
    <x v="0"/>
    <s v="Data Analyst"/>
    <n v="0"/>
    <s v="Gurugram"/>
    <s v="Yes"/>
    <x v="0"/>
    <s v="No"/>
    <s v="No"/>
    <s v="No"/>
    <x v="0"/>
    <x v="0"/>
  </r>
  <r>
    <x v="282"/>
    <x v="3"/>
    <s v="Recruiter"/>
    <n v="1"/>
    <s v="Delhi"/>
    <s v="Yes"/>
    <x v="1"/>
    <s v="Yes"/>
    <s v="Yes"/>
    <s v="Yes"/>
    <x v="1"/>
    <x v="1"/>
  </r>
  <r>
    <x v="283"/>
    <x v="1"/>
    <s v="Software Engineer"/>
    <n v="1"/>
    <s v="Noida"/>
    <s v="No"/>
    <x v="0"/>
    <s v="No"/>
    <s v="No"/>
    <s v="No"/>
    <x v="0"/>
    <x v="0"/>
  </r>
  <r>
    <x v="284"/>
    <x v="1"/>
    <s v="Recruiter"/>
    <n v="4"/>
    <s v="Bengaluru"/>
    <s v="No"/>
    <x v="0"/>
    <s v="No"/>
    <s v="No"/>
    <s v="No"/>
    <x v="0"/>
    <x v="0"/>
  </r>
  <r>
    <x v="285"/>
    <x v="3"/>
    <s v="HR Executive"/>
    <n v="4"/>
    <s v="Pune"/>
    <s v="Yes"/>
    <x v="0"/>
    <s v="No"/>
    <s v="No"/>
    <s v="No"/>
    <x v="0"/>
    <x v="0"/>
  </r>
  <r>
    <x v="286"/>
    <x v="3"/>
    <s v="Data Analyst"/>
    <n v="2"/>
    <s v="Bengaluru"/>
    <s v="Yes"/>
    <x v="1"/>
    <s v="Yes"/>
    <s v="No"/>
    <s v="No"/>
    <x v="0"/>
    <x v="0"/>
  </r>
  <r>
    <x v="287"/>
    <x v="2"/>
    <s v="HR Executive"/>
    <n v="4"/>
    <s v="Gurugram"/>
    <s v="Yes"/>
    <x v="0"/>
    <s v="No"/>
    <s v="No"/>
    <s v="No"/>
    <x v="0"/>
    <x v="0"/>
  </r>
  <r>
    <x v="288"/>
    <x v="4"/>
    <s v="HR Executive"/>
    <n v="1"/>
    <s v="Bengaluru"/>
    <s v="Yes"/>
    <x v="1"/>
    <s v="Yes"/>
    <s v="No"/>
    <s v="No"/>
    <x v="0"/>
    <x v="0"/>
  </r>
  <r>
    <x v="289"/>
    <x v="2"/>
    <s v="Recruiter"/>
    <n v="6"/>
    <s v="Bengaluru"/>
    <s v="Yes"/>
    <x v="0"/>
    <s v="No"/>
    <s v="No"/>
    <s v="No"/>
    <x v="0"/>
    <x v="0"/>
  </r>
  <r>
    <x v="290"/>
    <x v="0"/>
    <s v="Data Analyst"/>
    <n v="3"/>
    <s v="Noida"/>
    <s v="Yes"/>
    <x v="1"/>
    <s v="Yes"/>
    <s v="No"/>
    <s v="No"/>
    <x v="0"/>
    <x v="0"/>
  </r>
  <r>
    <x v="291"/>
    <x v="0"/>
    <s v="HR Executive"/>
    <n v="6"/>
    <s v="Bengaluru"/>
    <s v="No"/>
    <x v="0"/>
    <s v="No"/>
    <s v="No"/>
    <s v="No"/>
    <x v="0"/>
    <x v="0"/>
  </r>
  <r>
    <x v="292"/>
    <x v="0"/>
    <s v="HR Executive"/>
    <n v="4"/>
    <s v="Noida"/>
    <s v="No"/>
    <x v="0"/>
    <s v="No"/>
    <s v="No"/>
    <s v="No"/>
    <x v="0"/>
    <x v="0"/>
  </r>
  <r>
    <x v="293"/>
    <x v="3"/>
    <s v="Recruiter"/>
    <n v="1"/>
    <s v="Gurugram"/>
    <s v="No"/>
    <x v="0"/>
    <s v="No"/>
    <s v="No"/>
    <s v="No"/>
    <x v="0"/>
    <x v="0"/>
  </r>
  <r>
    <x v="294"/>
    <x v="1"/>
    <s v="Recruiter"/>
    <n v="6"/>
    <s v="Bengaluru"/>
    <s v="Yes"/>
    <x v="0"/>
    <s v="No"/>
    <s v="No"/>
    <s v="No"/>
    <x v="0"/>
    <x v="0"/>
  </r>
  <r>
    <x v="295"/>
    <x v="1"/>
    <s v="HR Executive"/>
    <n v="1"/>
    <s v="Noida"/>
    <s v="Yes"/>
    <x v="1"/>
    <s v="No"/>
    <s v="No"/>
    <s v="No"/>
    <x v="0"/>
    <x v="0"/>
  </r>
  <r>
    <x v="296"/>
    <x v="1"/>
    <s v="Recruiter"/>
    <n v="1"/>
    <s v="Bengaluru"/>
    <s v="Yes"/>
    <x v="1"/>
    <s v="Yes"/>
    <s v="No"/>
    <s v="No"/>
    <x v="0"/>
    <x v="0"/>
  </r>
  <r>
    <x v="297"/>
    <x v="2"/>
    <s v="Recruiter"/>
    <n v="0"/>
    <s v="Pune"/>
    <s v="Yes"/>
    <x v="1"/>
    <s v="No"/>
    <s v="No"/>
    <s v="No"/>
    <x v="0"/>
    <x v="0"/>
  </r>
  <r>
    <x v="298"/>
    <x v="2"/>
    <s v="Software Engineer"/>
    <n v="6"/>
    <s v="Delhi"/>
    <s v="Yes"/>
    <x v="1"/>
    <s v="No"/>
    <s v="No"/>
    <s v="No"/>
    <x v="0"/>
    <x v="0"/>
  </r>
  <r>
    <x v="299"/>
    <x v="1"/>
    <s v="Recruiter"/>
    <n v="2"/>
    <s v="Bengaluru"/>
    <s v="Yes"/>
    <x v="1"/>
    <s v="Yes"/>
    <s v="No"/>
    <s v="No"/>
    <x v="0"/>
    <x v="0"/>
  </r>
  <r>
    <x v="300"/>
    <x v="0"/>
    <s v="Data Analyst"/>
    <n v="4"/>
    <s v="Bengaluru"/>
    <s v="Yes"/>
    <x v="1"/>
    <s v="No"/>
    <s v="No"/>
    <s v="No"/>
    <x v="0"/>
    <x v="0"/>
  </r>
  <r>
    <x v="301"/>
    <x v="3"/>
    <s v="HR Executive"/>
    <n v="0"/>
    <s v="Lucknow"/>
    <s v="Yes"/>
    <x v="0"/>
    <s v="No"/>
    <s v="No"/>
    <s v="No"/>
    <x v="0"/>
    <x v="0"/>
  </r>
  <r>
    <x v="302"/>
    <x v="1"/>
    <s v="Business Analyst"/>
    <n v="0"/>
    <s v="Pune"/>
    <s v="No"/>
    <x v="0"/>
    <s v="No"/>
    <s v="No"/>
    <s v="No"/>
    <x v="0"/>
    <x v="0"/>
  </r>
  <r>
    <x v="303"/>
    <x v="1"/>
    <s v="Business Analyst"/>
    <n v="3"/>
    <s v="Gurugram"/>
    <s v="Yes"/>
    <x v="0"/>
    <s v="No"/>
    <s v="No"/>
    <s v="No"/>
    <x v="0"/>
    <x v="0"/>
  </r>
  <r>
    <x v="304"/>
    <x v="1"/>
    <s v="Recruiter"/>
    <n v="0"/>
    <s v="Lucknow"/>
    <s v="Yes"/>
    <x v="1"/>
    <s v="No"/>
    <s v="No"/>
    <s v="No"/>
    <x v="0"/>
    <x v="0"/>
  </r>
  <r>
    <x v="305"/>
    <x v="2"/>
    <s v="Data Analyst"/>
    <n v="1"/>
    <s v="Gurugram"/>
    <s v="No"/>
    <x v="0"/>
    <s v="No"/>
    <s v="No"/>
    <s v="No"/>
    <x v="0"/>
    <x v="0"/>
  </r>
  <r>
    <x v="306"/>
    <x v="1"/>
    <s v="Software Engineer"/>
    <n v="6"/>
    <s v="Gurugram"/>
    <s v="No"/>
    <x v="0"/>
    <s v="No"/>
    <s v="No"/>
    <s v="No"/>
    <x v="0"/>
    <x v="0"/>
  </r>
  <r>
    <x v="307"/>
    <x v="1"/>
    <s v="Business Analyst"/>
    <n v="6"/>
    <s v="Noida"/>
    <s v="No"/>
    <x v="0"/>
    <s v="No"/>
    <s v="No"/>
    <s v="No"/>
    <x v="0"/>
    <x v="0"/>
  </r>
  <r>
    <x v="308"/>
    <x v="1"/>
    <s v="HR Executive"/>
    <n v="0"/>
    <s v="Noida"/>
    <s v="Yes"/>
    <x v="0"/>
    <s v="No"/>
    <s v="No"/>
    <s v="No"/>
    <x v="0"/>
    <x v="0"/>
  </r>
  <r>
    <x v="309"/>
    <x v="3"/>
    <s v="HR Executive"/>
    <n v="1"/>
    <s v="Pune"/>
    <s v="Yes"/>
    <x v="1"/>
    <s v="Yes"/>
    <s v="Yes"/>
    <s v="Yes"/>
    <x v="1"/>
    <x v="1"/>
  </r>
  <r>
    <x v="310"/>
    <x v="0"/>
    <s v="Business Analyst"/>
    <n v="4"/>
    <s v="Bengaluru"/>
    <s v="No"/>
    <x v="0"/>
    <s v="No"/>
    <s v="No"/>
    <s v="No"/>
    <x v="0"/>
    <x v="0"/>
  </r>
  <r>
    <x v="311"/>
    <x v="1"/>
    <s v="Software Engineer"/>
    <n v="3"/>
    <s v="Gurugram"/>
    <s v="Yes"/>
    <x v="1"/>
    <s v="No"/>
    <s v="No"/>
    <s v="No"/>
    <x v="0"/>
    <x v="0"/>
  </r>
  <r>
    <x v="312"/>
    <x v="1"/>
    <s v="Data Analyst"/>
    <n v="2"/>
    <s v="Delhi"/>
    <s v="Yes"/>
    <x v="1"/>
    <s v="Yes"/>
    <s v="Yes"/>
    <s v="Yes"/>
    <x v="1"/>
    <x v="1"/>
  </r>
  <r>
    <x v="313"/>
    <x v="1"/>
    <s v="Recruiter"/>
    <n v="1"/>
    <s v="Lucknow"/>
    <s v="Yes"/>
    <x v="1"/>
    <s v="Yes"/>
    <s v="No"/>
    <s v="No"/>
    <x v="0"/>
    <x v="0"/>
  </r>
  <r>
    <x v="314"/>
    <x v="4"/>
    <s v="Software Engineer"/>
    <n v="6"/>
    <s v="Noida"/>
    <s v="Yes"/>
    <x v="0"/>
    <s v="No"/>
    <s v="No"/>
    <s v="No"/>
    <x v="0"/>
    <x v="0"/>
  </r>
  <r>
    <x v="315"/>
    <x v="4"/>
    <s v="Recruiter"/>
    <n v="1"/>
    <s v="Delhi"/>
    <s v="No"/>
    <x v="0"/>
    <s v="No"/>
    <s v="No"/>
    <s v="No"/>
    <x v="0"/>
    <x v="0"/>
  </r>
  <r>
    <x v="316"/>
    <x v="3"/>
    <s v="HR Executive"/>
    <n v="4"/>
    <s v="Noida"/>
    <s v="Yes"/>
    <x v="1"/>
    <s v="Yes"/>
    <s v="No"/>
    <s v="No"/>
    <x v="0"/>
    <x v="0"/>
  </r>
  <r>
    <x v="317"/>
    <x v="0"/>
    <s v="Data Analyst"/>
    <n v="1"/>
    <s v="Bengaluru"/>
    <s v="No"/>
    <x v="0"/>
    <s v="No"/>
    <s v="No"/>
    <s v="No"/>
    <x v="0"/>
    <x v="0"/>
  </r>
  <r>
    <x v="318"/>
    <x v="2"/>
    <s v="Data Analyst"/>
    <n v="3"/>
    <s v="Pune"/>
    <s v="Yes"/>
    <x v="1"/>
    <s v="Yes"/>
    <s v="Yes"/>
    <s v="Yes"/>
    <x v="1"/>
    <x v="1"/>
  </r>
  <r>
    <x v="319"/>
    <x v="1"/>
    <s v="Recruiter"/>
    <n v="4"/>
    <s v="Gurugram"/>
    <s v="Yes"/>
    <x v="1"/>
    <s v="No"/>
    <s v="No"/>
    <s v="No"/>
    <x v="0"/>
    <x v="0"/>
  </r>
  <r>
    <x v="320"/>
    <x v="1"/>
    <s v="HR Executive"/>
    <n v="6"/>
    <s v="Lucknow"/>
    <s v="Yes"/>
    <x v="1"/>
    <s v="Yes"/>
    <s v="Yes"/>
    <s v="Yes"/>
    <x v="1"/>
    <x v="1"/>
  </r>
  <r>
    <x v="321"/>
    <x v="3"/>
    <s v="Business Analyst"/>
    <n v="5"/>
    <s v="Delhi"/>
    <s v="Yes"/>
    <x v="1"/>
    <s v="Yes"/>
    <s v="Yes"/>
    <s v="No"/>
    <x v="0"/>
    <x v="0"/>
  </r>
  <r>
    <x v="322"/>
    <x v="4"/>
    <s v="Data Analyst"/>
    <n v="3"/>
    <s v="Lucknow"/>
    <s v="Yes"/>
    <x v="1"/>
    <s v="Yes"/>
    <s v="No"/>
    <s v="No"/>
    <x v="0"/>
    <x v="0"/>
  </r>
  <r>
    <x v="323"/>
    <x v="0"/>
    <s v="Software Engineer"/>
    <n v="2"/>
    <s v="Gurugram"/>
    <s v="Yes"/>
    <x v="0"/>
    <s v="No"/>
    <s v="No"/>
    <s v="No"/>
    <x v="0"/>
    <x v="0"/>
  </r>
  <r>
    <x v="324"/>
    <x v="3"/>
    <s v="Data Analyst"/>
    <n v="5"/>
    <s v="Pune"/>
    <s v="Yes"/>
    <x v="0"/>
    <s v="No"/>
    <s v="No"/>
    <s v="No"/>
    <x v="0"/>
    <x v="0"/>
  </r>
  <r>
    <x v="325"/>
    <x v="1"/>
    <s v="Software Engineer"/>
    <n v="3"/>
    <s v="Pune"/>
    <s v="Yes"/>
    <x v="0"/>
    <s v="No"/>
    <s v="No"/>
    <s v="No"/>
    <x v="0"/>
    <x v="0"/>
  </r>
  <r>
    <x v="326"/>
    <x v="2"/>
    <s v="Business Analyst"/>
    <n v="2"/>
    <s v="Gurugram"/>
    <s v="Yes"/>
    <x v="1"/>
    <s v="Yes"/>
    <s v="No"/>
    <s v="No"/>
    <x v="0"/>
    <x v="0"/>
  </r>
  <r>
    <x v="327"/>
    <x v="1"/>
    <s v="Recruiter"/>
    <n v="2"/>
    <s v="Delhi"/>
    <s v="No"/>
    <x v="0"/>
    <s v="No"/>
    <s v="No"/>
    <s v="No"/>
    <x v="0"/>
    <x v="0"/>
  </r>
  <r>
    <x v="328"/>
    <x v="0"/>
    <s v="Data Analyst"/>
    <n v="6"/>
    <s v="Bengaluru"/>
    <s v="Yes"/>
    <x v="0"/>
    <s v="No"/>
    <s v="No"/>
    <s v="No"/>
    <x v="0"/>
    <x v="0"/>
  </r>
  <r>
    <x v="329"/>
    <x v="2"/>
    <s v="Data Analyst"/>
    <n v="1"/>
    <s v="Lucknow"/>
    <s v="Yes"/>
    <x v="1"/>
    <s v="No"/>
    <s v="No"/>
    <s v="No"/>
    <x v="0"/>
    <x v="0"/>
  </r>
  <r>
    <x v="330"/>
    <x v="0"/>
    <s v="Data Analyst"/>
    <n v="5"/>
    <s v="Lucknow"/>
    <s v="Yes"/>
    <x v="1"/>
    <s v="Yes"/>
    <s v="No"/>
    <s v="No"/>
    <x v="0"/>
    <x v="0"/>
  </r>
  <r>
    <x v="331"/>
    <x v="1"/>
    <s v="HR Executive"/>
    <n v="2"/>
    <s v="Delhi"/>
    <s v="No"/>
    <x v="0"/>
    <s v="No"/>
    <s v="No"/>
    <s v="No"/>
    <x v="0"/>
    <x v="0"/>
  </r>
  <r>
    <x v="332"/>
    <x v="0"/>
    <s v="Recruiter"/>
    <n v="4"/>
    <s v="Bengaluru"/>
    <s v="No"/>
    <x v="0"/>
    <s v="No"/>
    <s v="No"/>
    <s v="No"/>
    <x v="0"/>
    <x v="0"/>
  </r>
  <r>
    <x v="333"/>
    <x v="1"/>
    <s v="Software Engineer"/>
    <n v="5"/>
    <s v="Pune"/>
    <s v="Yes"/>
    <x v="1"/>
    <s v="Yes"/>
    <s v="No"/>
    <s v="No"/>
    <x v="0"/>
    <x v="0"/>
  </r>
  <r>
    <x v="334"/>
    <x v="2"/>
    <s v="Software Engineer"/>
    <n v="5"/>
    <s v="Bengaluru"/>
    <s v="Yes"/>
    <x v="1"/>
    <s v="No"/>
    <s v="No"/>
    <s v="No"/>
    <x v="0"/>
    <x v="0"/>
  </r>
  <r>
    <x v="335"/>
    <x v="4"/>
    <s v="Business Analyst"/>
    <n v="6"/>
    <s v="Pune"/>
    <s v="Yes"/>
    <x v="1"/>
    <s v="Yes"/>
    <s v="Yes"/>
    <s v="Yes"/>
    <x v="1"/>
    <x v="1"/>
  </r>
  <r>
    <x v="336"/>
    <x v="1"/>
    <s v="Business Analyst"/>
    <n v="6"/>
    <s v="Gurugram"/>
    <s v="No"/>
    <x v="0"/>
    <s v="No"/>
    <s v="No"/>
    <s v="No"/>
    <x v="0"/>
    <x v="0"/>
  </r>
  <r>
    <x v="337"/>
    <x v="3"/>
    <s v="Software Engineer"/>
    <n v="4"/>
    <s v="Pune"/>
    <s v="Yes"/>
    <x v="1"/>
    <s v="Yes"/>
    <s v="No"/>
    <s v="No"/>
    <x v="0"/>
    <x v="0"/>
  </r>
  <r>
    <x v="338"/>
    <x v="4"/>
    <s v="Business Analyst"/>
    <n v="0"/>
    <s v="Pune"/>
    <s v="No"/>
    <x v="0"/>
    <s v="No"/>
    <s v="No"/>
    <s v="No"/>
    <x v="0"/>
    <x v="0"/>
  </r>
  <r>
    <x v="339"/>
    <x v="1"/>
    <s v="Recruiter"/>
    <n v="5"/>
    <s v="Pune"/>
    <s v="Yes"/>
    <x v="0"/>
    <s v="No"/>
    <s v="No"/>
    <s v="No"/>
    <x v="0"/>
    <x v="0"/>
  </r>
  <r>
    <x v="340"/>
    <x v="1"/>
    <s v="Business Analyst"/>
    <n v="5"/>
    <s v="Bengaluru"/>
    <s v="Yes"/>
    <x v="1"/>
    <s v="No"/>
    <s v="No"/>
    <s v="No"/>
    <x v="0"/>
    <x v="0"/>
  </r>
  <r>
    <x v="341"/>
    <x v="1"/>
    <s v="Software Engineer"/>
    <n v="0"/>
    <s v="Delhi"/>
    <s v="No"/>
    <x v="0"/>
    <s v="No"/>
    <s v="No"/>
    <s v="No"/>
    <x v="0"/>
    <x v="0"/>
  </r>
  <r>
    <x v="342"/>
    <x v="4"/>
    <s v="Data Analyst"/>
    <n v="6"/>
    <s v="Gurugram"/>
    <s v="No"/>
    <x v="0"/>
    <s v="No"/>
    <s v="No"/>
    <s v="No"/>
    <x v="0"/>
    <x v="0"/>
  </r>
  <r>
    <x v="343"/>
    <x v="0"/>
    <s v="Business Analyst"/>
    <n v="3"/>
    <s v="Delhi"/>
    <s v="Yes"/>
    <x v="0"/>
    <s v="No"/>
    <s v="No"/>
    <s v="No"/>
    <x v="0"/>
    <x v="0"/>
  </r>
  <r>
    <x v="344"/>
    <x v="3"/>
    <s v="HR Executive"/>
    <n v="2"/>
    <s v="Noida"/>
    <s v="Yes"/>
    <x v="1"/>
    <s v="Yes"/>
    <s v="Yes"/>
    <s v="No"/>
    <x v="0"/>
    <x v="0"/>
  </r>
  <r>
    <x v="345"/>
    <x v="3"/>
    <s v="Business Analyst"/>
    <n v="1"/>
    <s v="Noida"/>
    <s v="Yes"/>
    <x v="1"/>
    <s v="No"/>
    <s v="No"/>
    <s v="No"/>
    <x v="0"/>
    <x v="0"/>
  </r>
  <r>
    <x v="346"/>
    <x v="0"/>
    <s v="Data Analyst"/>
    <n v="4"/>
    <s v="Pune"/>
    <s v="Yes"/>
    <x v="1"/>
    <s v="Yes"/>
    <s v="Yes"/>
    <s v="Yes"/>
    <x v="0"/>
    <x v="0"/>
  </r>
  <r>
    <x v="347"/>
    <x v="3"/>
    <s v="Business Analyst"/>
    <n v="5"/>
    <s v="Noida"/>
    <s v="Yes"/>
    <x v="0"/>
    <s v="No"/>
    <s v="No"/>
    <s v="No"/>
    <x v="0"/>
    <x v="0"/>
  </r>
  <r>
    <x v="348"/>
    <x v="4"/>
    <s v="HR Executive"/>
    <n v="3"/>
    <s v="Gurugram"/>
    <s v="Yes"/>
    <x v="0"/>
    <s v="No"/>
    <s v="No"/>
    <s v="No"/>
    <x v="0"/>
    <x v="0"/>
  </r>
  <r>
    <x v="349"/>
    <x v="1"/>
    <s v="Business Analyst"/>
    <n v="3"/>
    <s v="Delhi"/>
    <s v="No"/>
    <x v="0"/>
    <s v="No"/>
    <s v="No"/>
    <s v="No"/>
    <x v="0"/>
    <x v="0"/>
  </r>
  <r>
    <x v="350"/>
    <x v="3"/>
    <s v="HR Executive"/>
    <n v="0"/>
    <s v="Pune"/>
    <s v="Yes"/>
    <x v="0"/>
    <s v="No"/>
    <s v="No"/>
    <s v="No"/>
    <x v="0"/>
    <x v="0"/>
  </r>
  <r>
    <x v="351"/>
    <x v="4"/>
    <s v="Business Analyst"/>
    <n v="6"/>
    <s v="Lucknow"/>
    <s v="Yes"/>
    <x v="0"/>
    <s v="No"/>
    <s v="No"/>
    <s v="No"/>
    <x v="0"/>
    <x v="0"/>
  </r>
  <r>
    <x v="352"/>
    <x v="1"/>
    <s v="Business Analyst"/>
    <n v="0"/>
    <s v="Delhi"/>
    <s v="Yes"/>
    <x v="1"/>
    <s v="No"/>
    <s v="No"/>
    <s v="No"/>
    <x v="0"/>
    <x v="0"/>
  </r>
  <r>
    <x v="353"/>
    <x v="0"/>
    <s v="HR Executive"/>
    <n v="3"/>
    <s v="Bengaluru"/>
    <s v="Yes"/>
    <x v="1"/>
    <s v="Yes"/>
    <s v="Yes"/>
    <s v="Yes"/>
    <x v="1"/>
    <x v="0"/>
  </r>
  <r>
    <x v="354"/>
    <x v="1"/>
    <s v="Business Analyst"/>
    <n v="5"/>
    <s v="Gurugram"/>
    <s v="No"/>
    <x v="0"/>
    <s v="No"/>
    <s v="No"/>
    <s v="No"/>
    <x v="0"/>
    <x v="0"/>
  </r>
  <r>
    <x v="355"/>
    <x v="4"/>
    <s v="Data Analyst"/>
    <n v="0"/>
    <s v="Pune"/>
    <s v="Yes"/>
    <x v="1"/>
    <s v="Yes"/>
    <s v="No"/>
    <s v="No"/>
    <x v="0"/>
    <x v="0"/>
  </r>
  <r>
    <x v="356"/>
    <x v="1"/>
    <s v="Recruiter"/>
    <n v="2"/>
    <s v="Gurugram"/>
    <s v="Yes"/>
    <x v="1"/>
    <s v="No"/>
    <s v="No"/>
    <s v="No"/>
    <x v="0"/>
    <x v="0"/>
  </r>
  <r>
    <x v="357"/>
    <x v="1"/>
    <s v="Business Analyst"/>
    <n v="0"/>
    <s v="Bengaluru"/>
    <s v="No"/>
    <x v="0"/>
    <s v="No"/>
    <s v="No"/>
    <s v="No"/>
    <x v="0"/>
    <x v="0"/>
  </r>
  <r>
    <x v="358"/>
    <x v="0"/>
    <s v="Data Analyst"/>
    <n v="3"/>
    <s v="Gurugram"/>
    <s v="Yes"/>
    <x v="1"/>
    <s v="No"/>
    <s v="No"/>
    <s v="No"/>
    <x v="0"/>
    <x v="0"/>
  </r>
  <r>
    <x v="359"/>
    <x v="0"/>
    <s v="Data Analyst"/>
    <n v="6"/>
    <s v="Gurugram"/>
    <s v="Yes"/>
    <x v="1"/>
    <s v="No"/>
    <s v="No"/>
    <s v="No"/>
    <x v="0"/>
    <x v="0"/>
  </r>
  <r>
    <x v="360"/>
    <x v="4"/>
    <s v="Software Engineer"/>
    <n v="0"/>
    <s v="Delhi"/>
    <s v="Yes"/>
    <x v="0"/>
    <s v="No"/>
    <s v="No"/>
    <s v="No"/>
    <x v="0"/>
    <x v="0"/>
  </r>
  <r>
    <x v="361"/>
    <x v="2"/>
    <s v="HR Executive"/>
    <n v="0"/>
    <s v="Lucknow"/>
    <s v="Yes"/>
    <x v="1"/>
    <s v="Yes"/>
    <s v="No"/>
    <s v="No"/>
    <x v="0"/>
    <x v="0"/>
  </r>
  <r>
    <x v="362"/>
    <x v="1"/>
    <s v="Software Engineer"/>
    <n v="0"/>
    <s v="Delhi"/>
    <s v="Yes"/>
    <x v="0"/>
    <s v="No"/>
    <s v="No"/>
    <s v="No"/>
    <x v="0"/>
    <x v="0"/>
  </r>
  <r>
    <x v="363"/>
    <x v="0"/>
    <s v="Recruiter"/>
    <n v="0"/>
    <s v="Noida"/>
    <s v="Yes"/>
    <x v="1"/>
    <s v="No"/>
    <s v="No"/>
    <s v="No"/>
    <x v="0"/>
    <x v="0"/>
  </r>
  <r>
    <x v="364"/>
    <x v="3"/>
    <s v="Software Engineer"/>
    <n v="2"/>
    <s v="Gurugram"/>
    <s v="No"/>
    <x v="0"/>
    <s v="No"/>
    <s v="No"/>
    <s v="No"/>
    <x v="0"/>
    <x v="0"/>
  </r>
  <r>
    <x v="365"/>
    <x v="1"/>
    <s v="Software Engineer"/>
    <n v="5"/>
    <s v="Lucknow"/>
    <s v="Yes"/>
    <x v="0"/>
    <s v="No"/>
    <s v="No"/>
    <s v="No"/>
    <x v="0"/>
    <x v="0"/>
  </r>
  <r>
    <x v="366"/>
    <x v="1"/>
    <s v="Recruiter"/>
    <n v="6"/>
    <s v="Lucknow"/>
    <s v="Yes"/>
    <x v="0"/>
    <s v="No"/>
    <s v="No"/>
    <s v="No"/>
    <x v="0"/>
    <x v="0"/>
  </r>
  <r>
    <x v="367"/>
    <x v="4"/>
    <s v="Recruiter"/>
    <n v="6"/>
    <s v="Noida"/>
    <s v="Yes"/>
    <x v="1"/>
    <s v="No"/>
    <s v="No"/>
    <s v="No"/>
    <x v="0"/>
    <x v="0"/>
  </r>
  <r>
    <x v="368"/>
    <x v="3"/>
    <s v="Recruiter"/>
    <n v="3"/>
    <s v="Gurugram"/>
    <s v="Yes"/>
    <x v="0"/>
    <s v="No"/>
    <s v="No"/>
    <s v="No"/>
    <x v="0"/>
    <x v="0"/>
  </r>
  <r>
    <x v="369"/>
    <x v="3"/>
    <s v="Business Analyst"/>
    <n v="2"/>
    <s v="Delhi"/>
    <s v="Yes"/>
    <x v="1"/>
    <s v="Yes"/>
    <s v="No"/>
    <s v="No"/>
    <x v="0"/>
    <x v="0"/>
  </r>
  <r>
    <x v="370"/>
    <x v="0"/>
    <s v="Business Analyst"/>
    <n v="2"/>
    <s v="Noida"/>
    <s v="Yes"/>
    <x v="1"/>
    <s v="Yes"/>
    <s v="Yes"/>
    <s v="Yes"/>
    <x v="1"/>
    <x v="1"/>
  </r>
  <r>
    <x v="371"/>
    <x v="3"/>
    <s v="HR Executive"/>
    <n v="3"/>
    <s v="Lucknow"/>
    <s v="Yes"/>
    <x v="1"/>
    <s v="Yes"/>
    <s v="No"/>
    <s v="No"/>
    <x v="0"/>
    <x v="0"/>
  </r>
  <r>
    <x v="372"/>
    <x v="1"/>
    <s v="Recruiter"/>
    <n v="2"/>
    <s v="Gurugram"/>
    <s v="Yes"/>
    <x v="1"/>
    <s v="No"/>
    <s v="No"/>
    <s v="No"/>
    <x v="0"/>
    <x v="0"/>
  </r>
  <r>
    <x v="373"/>
    <x v="4"/>
    <s v="Software Engineer"/>
    <n v="4"/>
    <s v="Pune"/>
    <s v="Yes"/>
    <x v="1"/>
    <s v="Yes"/>
    <s v="Yes"/>
    <s v="Yes"/>
    <x v="1"/>
    <x v="1"/>
  </r>
  <r>
    <x v="374"/>
    <x v="3"/>
    <s v="HR Executive"/>
    <n v="0"/>
    <s v="Noida"/>
    <s v="Yes"/>
    <x v="1"/>
    <s v="No"/>
    <s v="No"/>
    <s v="No"/>
    <x v="0"/>
    <x v="0"/>
  </r>
  <r>
    <x v="375"/>
    <x v="3"/>
    <s v="Data Analyst"/>
    <n v="0"/>
    <s v="Delhi"/>
    <s v="Yes"/>
    <x v="0"/>
    <s v="No"/>
    <s v="No"/>
    <s v="No"/>
    <x v="0"/>
    <x v="0"/>
  </r>
  <r>
    <x v="376"/>
    <x v="1"/>
    <s v="HR Executive"/>
    <n v="6"/>
    <s v="Noida"/>
    <s v="Yes"/>
    <x v="1"/>
    <s v="No"/>
    <s v="No"/>
    <s v="No"/>
    <x v="0"/>
    <x v="0"/>
  </r>
  <r>
    <x v="377"/>
    <x v="0"/>
    <s v="HR Executive"/>
    <n v="2"/>
    <s v="Noida"/>
    <s v="Yes"/>
    <x v="0"/>
    <s v="No"/>
    <s v="No"/>
    <s v="No"/>
    <x v="0"/>
    <x v="0"/>
  </r>
  <r>
    <x v="378"/>
    <x v="3"/>
    <s v="Data Analyst"/>
    <n v="3"/>
    <s v="Noida"/>
    <s v="Yes"/>
    <x v="0"/>
    <s v="No"/>
    <s v="No"/>
    <s v="No"/>
    <x v="0"/>
    <x v="0"/>
  </r>
  <r>
    <x v="379"/>
    <x v="3"/>
    <s v="HR Executive"/>
    <n v="1"/>
    <s v="Noida"/>
    <s v="Yes"/>
    <x v="0"/>
    <s v="No"/>
    <s v="No"/>
    <s v="No"/>
    <x v="0"/>
    <x v="0"/>
  </r>
  <r>
    <x v="380"/>
    <x v="3"/>
    <s v="Data Analyst"/>
    <n v="4"/>
    <s v="Delhi"/>
    <s v="Yes"/>
    <x v="1"/>
    <s v="No"/>
    <s v="No"/>
    <s v="No"/>
    <x v="0"/>
    <x v="0"/>
  </r>
  <r>
    <x v="381"/>
    <x v="3"/>
    <s v="Software Engineer"/>
    <n v="3"/>
    <s v="Bengaluru"/>
    <s v="Yes"/>
    <x v="0"/>
    <s v="No"/>
    <s v="No"/>
    <s v="No"/>
    <x v="0"/>
    <x v="0"/>
  </r>
  <r>
    <x v="382"/>
    <x v="2"/>
    <s v="Data Analyst"/>
    <n v="6"/>
    <s v="Gurugram"/>
    <s v="Yes"/>
    <x v="1"/>
    <s v="Yes"/>
    <s v="Yes"/>
    <s v="Yes"/>
    <x v="1"/>
    <x v="1"/>
  </r>
  <r>
    <x v="383"/>
    <x v="3"/>
    <s v="HR Executive"/>
    <n v="4"/>
    <s v="Gurugram"/>
    <s v="Yes"/>
    <x v="0"/>
    <s v="No"/>
    <s v="No"/>
    <s v="No"/>
    <x v="0"/>
    <x v="0"/>
  </r>
  <r>
    <x v="384"/>
    <x v="2"/>
    <s v="Recruiter"/>
    <n v="0"/>
    <s v="Noida"/>
    <s v="Yes"/>
    <x v="0"/>
    <s v="No"/>
    <s v="No"/>
    <s v="No"/>
    <x v="0"/>
    <x v="0"/>
  </r>
  <r>
    <x v="385"/>
    <x v="3"/>
    <s v="Software Engineer"/>
    <n v="0"/>
    <s v="Delhi"/>
    <s v="Yes"/>
    <x v="1"/>
    <s v="No"/>
    <s v="No"/>
    <s v="No"/>
    <x v="0"/>
    <x v="0"/>
  </r>
  <r>
    <x v="386"/>
    <x v="1"/>
    <s v="Software Engineer"/>
    <n v="5"/>
    <s v="Bengaluru"/>
    <s v="Yes"/>
    <x v="0"/>
    <s v="No"/>
    <s v="No"/>
    <s v="No"/>
    <x v="0"/>
    <x v="0"/>
  </r>
  <r>
    <x v="387"/>
    <x v="4"/>
    <s v="Recruiter"/>
    <n v="0"/>
    <s v="Lucknow"/>
    <s v="Yes"/>
    <x v="1"/>
    <s v="Yes"/>
    <s v="No"/>
    <s v="No"/>
    <x v="0"/>
    <x v="0"/>
  </r>
  <r>
    <x v="388"/>
    <x v="3"/>
    <s v="Recruiter"/>
    <n v="3"/>
    <s v="Gurugram"/>
    <s v="No"/>
    <x v="0"/>
    <s v="No"/>
    <s v="No"/>
    <s v="No"/>
    <x v="0"/>
    <x v="0"/>
  </r>
  <r>
    <x v="389"/>
    <x v="3"/>
    <s v="HR Executive"/>
    <n v="2"/>
    <s v="Lucknow"/>
    <s v="Yes"/>
    <x v="1"/>
    <s v="No"/>
    <s v="No"/>
    <s v="No"/>
    <x v="0"/>
    <x v="0"/>
  </r>
  <r>
    <x v="390"/>
    <x v="1"/>
    <s v="Business Analyst"/>
    <n v="5"/>
    <s v="Delhi"/>
    <s v="Yes"/>
    <x v="1"/>
    <s v="No"/>
    <s v="No"/>
    <s v="No"/>
    <x v="0"/>
    <x v="0"/>
  </r>
  <r>
    <x v="391"/>
    <x v="3"/>
    <s v="Recruiter"/>
    <n v="0"/>
    <s v="Gurugram"/>
    <s v="No"/>
    <x v="0"/>
    <s v="No"/>
    <s v="No"/>
    <s v="No"/>
    <x v="0"/>
    <x v="0"/>
  </r>
  <r>
    <x v="392"/>
    <x v="3"/>
    <s v="Data Analyst"/>
    <n v="0"/>
    <s v="Bengaluru"/>
    <s v="Yes"/>
    <x v="0"/>
    <s v="No"/>
    <s v="No"/>
    <s v="No"/>
    <x v="0"/>
    <x v="0"/>
  </r>
  <r>
    <x v="393"/>
    <x v="0"/>
    <s v="Business Analyst"/>
    <n v="1"/>
    <s v="Bengaluru"/>
    <s v="Yes"/>
    <x v="1"/>
    <s v="Yes"/>
    <s v="No"/>
    <s v="No"/>
    <x v="0"/>
    <x v="0"/>
  </r>
  <r>
    <x v="394"/>
    <x v="4"/>
    <s v="Data Analyst"/>
    <n v="3"/>
    <s v="Bengaluru"/>
    <s v="Yes"/>
    <x v="0"/>
    <s v="No"/>
    <s v="No"/>
    <s v="No"/>
    <x v="0"/>
    <x v="0"/>
  </r>
  <r>
    <x v="395"/>
    <x v="3"/>
    <s v="Data Analyst"/>
    <n v="4"/>
    <s v="Delhi"/>
    <s v="Yes"/>
    <x v="1"/>
    <s v="Yes"/>
    <s v="Yes"/>
    <s v="Yes"/>
    <x v="1"/>
    <x v="1"/>
  </r>
  <r>
    <x v="396"/>
    <x v="3"/>
    <s v="Business Analyst"/>
    <n v="4"/>
    <s v="Delhi"/>
    <s v="Yes"/>
    <x v="1"/>
    <s v="Yes"/>
    <s v="No"/>
    <s v="No"/>
    <x v="0"/>
    <x v="0"/>
  </r>
  <r>
    <x v="397"/>
    <x v="3"/>
    <s v="Software Engineer"/>
    <n v="2"/>
    <s v="Pune"/>
    <s v="Yes"/>
    <x v="1"/>
    <s v="Yes"/>
    <s v="Yes"/>
    <s v="Yes"/>
    <x v="1"/>
    <x v="1"/>
  </r>
  <r>
    <x v="398"/>
    <x v="2"/>
    <s v="Software Engineer"/>
    <n v="4"/>
    <s v="Lucknow"/>
    <s v="Yes"/>
    <x v="1"/>
    <s v="Yes"/>
    <s v="Yes"/>
    <s v="Yes"/>
    <x v="1"/>
    <x v="1"/>
  </r>
  <r>
    <x v="399"/>
    <x v="3"/>
    <s v="HR Executive"/>
    <n v="3"/>
    <s v="Delhi"/>
    <s v="Yes"/>
    <x v="1"/>
    <s v="No"/>
    <s v="No"/>
    <s v="No"/>
    <x v="0"/>
    <x v="0"/>
  </r>
  <r>
    <x v="400"/>
    <x v="4"/>
    <s v="Data Analyst"/>
    <n v="1"/>
    <s v="Gurugram"/>
    <s v="Yes"/>
    <x v="1"/>
    <s v="No"/>
    <s v="No"/>
    <s v="No"/>
    <x v="0"/>
    <x v="0"/>
  </r>
  <r>
    <x v="401"/>
    <x v="0"/>
    <s v="Software Engineer"/>
    <n v="0"/>
    <s v="Gurugram"/>
    <s v="Yes"/>
    <x v="0"/>
    <s v="No"/>
    <s v="No"/>
    <s v="No"/>
    <x v="0"/>
    <x v="0"/>
  </r>
  <r>
    <x v="402"/>
    <x v="4"/>
    <s v="HR Executive"/>
    <n v="3"/>
    <s v="Gurugram"/>
    <s v="Yes"/>
    <x v="1"/>
    <s v="No"/>
    <s v="No"/>
    <s v="No"/>
    <x v="0"/>
    <x v="0"/>
  </r>
  <r>
    <x v="403"/>
    <x v="3"/>
    <s v="Data Analyst"/>
    <n v="0"/>
    <s v="Delhi"/>
    <s v="Yes"/>
    <x v="1"/>
    <s v="Yes"/>
    <s v="Yes"/>
    <s v="Yes"/>
    <x v="1"/>
    <x v="1"/>
  </r>
  <r>
    <x v="404"/>
    <x v="3"/>
    <s v="Data Analyst"/>
    <n v="0"/>
    <s v="Noida"/>
    <s v="No"/>
    <x v="0"/>
    <s v="No"/>
    <s v="No"/>
    <s v="No"/>
    <x v="0"/>
    <x v="0"/>
  </r>
  <r>
    <x v="405"/>
    <x v="2"/>
    <s v="Recruiter"/>
    <n v="6"/>
    <s v="Lucknow"/>
    <s v="No"/>
    <x v="0"/>
    <s v="No"/>
    <s v="No"/>
    <s v="No"/>
    <x v="0"/>
    <x v="0"/>
  </r>
  <r>
    <x v="406"/>
    <x v="3"/>
    <s v="Data Analyst"/>
    <n v="3"/>
    <s v="Lucknow"/>
    <s v="No"/>
    <x v="0"/>
    <s v="No"/>
    <s v="No"/>
    <s v="No"/>
    <x v="0"/>
    <x v="0"/>
  </r>
  <r>
    <x v="407"/>
    <x v="0"/>
    <s v="Data Analyst"/>
    <n v="6"/>
    <s v="Lucknow"/>
    <s v="Yes"/>
    <x v="1"/>
    <s v="No"/>
    <s v="No"/>
    <s v="No"/>
    <x v="0"/>
    <x v="0"/>
  </r>
  <r>
    <x v="408"/>
    <x v="3"/>
    <s v="Software Engineer"/>
    <n v="6"/>
    <s v="Delhi"/>
    <s v="Yes"/>
    <x v="0"/>
    <s v="No"/>
    <s v="No"/>
    <s v="No"/>
    <x v="0"/>
    <x v="0"/>
  </r>
  <r>
    <x v="409"/>
    <x v="0"/>
    <s v="Software Engineer"/>
    <n v="4"/>
    <s v="Bengaluru"/>
    <s v="Yes"/>
    <x v="0"/>
    <s v="No"/>
    <s v="No"/>
    <s v="No"/>
    <x v="0"/>
    <x v="0"/>
  </r>
  <r>
    <x v="410"/>
    <x v="2"/>
    <s v="Business Analyst"/>
    <n v="6"/>
    <s v="Lucknow"/>
    <s v="Yes"/>
    <x v="1"/>
    <s v="No"/>
    <s v="No"/>
    <s v="No"/>
    <x v="0"/>
    <x v="0"/>
  </r>
  <r>
    <x v="411"/>
    <x v="1"/>
    <s v="Software Engineer"/>
    <n v="2"/>
    <s v="Noida"/>
    <s v="Yes"/>
    <x v="0"/>
    <s v="No"/>
    <s v="No"/>
    <s v="No"/>
    <x v="0"/>
    <x v="0"/>
  </r>
  <r>
    <x v="412"/>
    <x v="3"/>
    <s v="Software Engineer"/>
    <n v="6"/>
    <s v="Lucknow"/>
    <s v="Yes"/>
    <x v="0"/>
    <s v="No"/>
    <s v="No"/>
    <s v="No"/>
    <x v="0"/>
    <x v="0"/>
  </r>
  <r>
    <x v="413"/>
    <x v="3"/>
    <s v="Data Analyst"/>
    <n v="2"/>
    <s v="Bengaluru"/>
    <s v="Yes"/>
    <x v="0"/>
    <s v="No"/>
    <s v="No"/>
    <s v="No"/>
    <x v="0"/>
    <x v="0"/>
  </r>
  <r>
    <x v="414"/>
    <x v="1"/>
    <s v="Business Analyst"/>
    <n v="6"/>
    <s v="Delhi"/>
    <s v="No"/>
    <x v="0"/>
    <s v="No"/>
    <s v="No"/>
    <s v="No"/>
    <x v="0"/>
    <x v="0"/>
  </r>
  <r>
    <x v="415"/>
    <x v="0"/>
    <s v="HR Executive"/>
    <n v="4"/>
    <s v="Bengaluru"/>
    <s v="Yes"/>
    <x v="1"/>
    <s v="Yes"/>
    <s v="No"/>
    <s v="No"/>
    <x v="0"/>
    <x v="0"/>
  </r>
  <r>
    <x v="416"/>
    <x v="2"/>
    <s v="Data Analyst"/>
    <n v="4"/>
    <s v="Bengaluru"/>
    <s v="Yes"/>
    <x v="0"/>
    <s v="No"/>
    <s v="No"/>
    <s v="No"/>
    <x v="0"/>
    <x v="0"/>
  </r>
  <r>
    <x v="417"/>
    <x v="3"/>
    <s v="Software Engineer"/>
    <n v="2"/>
    <s v="Pune"/>
    <s v="Yes"/>
    <x v="0"/>
    <s v="No"/>
    <s v="No"/>
    <s v="No"/>
    <x v="0"/>
    <x v="0"/>
  </r>
  <r>
    <x v="418"/>
    <x v="0"/>
    <s v="Business Analyst"/>
    <n v="3"/>
    <s v="Bengaluru"/>
    <s v="Yes"/>
    <x v="1"/>
    <s v="Yes"/>
    <s v="No"/>
    <s v="No"/>
    <x v="0"/>
    <x v="0"/>
  </r>
  <r>
    <x v="419"/>
    <x v="1"/>
    <s v="Recruiter"/>
    <n v="1"/>
    <s v="Gurugram"/>
    <s v="Yes"/>
    <x v="0"/>
    <s v="No"/>
    <s v="No"/>
    <s v="No"/>
    <x v="0"/>
    <x v="0"/>
  </r>
  <r>
    <x v="420"/>
    <x v="1"/>
    <s v="HR Executive"/>
    <n v="4"/>
    <s v="Gurugram"/>
    <s v="No"/>
    <x v="0"/>
    <s v="No"/>
    <s v="No"/>
    <s v="No"/>
    <x v="0"/>
    <x v="0"/>
  </r>
  <r>
    <x v="421"/>
    <x v="2"/>
    <s v="Business Analyst"/>
    <n v="0"/>
    <s v="Lucknow"/>
    <s v="Yes"/>
    <x v="0"/>
    <s v="No"/>
    <s v="No"/>
    <s v="No"/>
    <x v="0"/>
    <x v="0"/>
  </r>
  <r>
    <x v="422"/>
    <x v="1"/>
    <s v="Software Engineer"/>
    <n v="1"/>
    <s v="Gurugram"/>
    <s v="Yes"/>
    <x v="0"/>
    <s v="No"/>
    <s v="No"/>
    <s v="No"/>
    <x v="0"/>
    <x v="0"/>
  </r>
  <r>
    <x v="423"/>
    <x v="3"/>
    <s v="Software Engineer"/>
    <n v="1"/>
    <s v="Bengaluru"/>
    <s v="Yes"/>
    <x v="0"/>
    <s v="No"/>
    <s v="No"/>
    <s v="No"/>
    <x v="0"/>
    <x v="0"/>
  </r>
  <r>
    <x v="424"/>
    <x v="2"/>
    <s v="Data Analyst"/>
    <n v="2"/>
    <s v="Noida"/>
    <s v="Yes"/>
    <x v="0"/>
    <s v="No"/>
    <s v="No"/>
    <s v="No"/>
    <x v="0"/>
    <x v="0"/>
  </r>
  <r>
    <x v="425"/>
    <x v="0"/>
    <s v="Data Analyst"/>
    <n v="5"/>
    <s v="Noida"/>
    <s v="No"/>
    <x v="0"/>
    <s v="No"/>
    <s v="No"/>
    <s v="No"/>
    <x v="0"/>
    <x v="0"/>
  </r>
  <r>
    <x v="426"/>
    <x v="2"/>
    <s v="Recruiter"/>
    <n v="0"/>
    <s v="Bengaluru"/>
    <s v="Yes"/>
    <x v="1"/>
    <s v="Yes"/>
    <s v="No"/>
    <s v="No"/>
    <x v="0"/>
    <x v="0"/>
  </r>
  <r>
    <x v="427"/>
    <x v="3"/>
    <s v="Recruiter"/>
    <n v="0"/>
    <s v="Bengaluru"/>
    <s v="Yes"/>
    <x v="1"/>
    <s v="No"/>
    <s v="No"/>
    <s v="No"/>
    <x v="0"/>
    <x v="0"/>
  </r>
  <r>
    <x v="428"/>
    <x v="0"/>
    <s v="HR Executive"/>
    <n v="1"/>
    <s v="Gurugram"/>
    <s v="Yes"/>
    <x v="0"/>
    <s v="No"/>
    <s v="No"/>
    <s v="No"/>
    <x v="0"/>
    <x v="0"/>
  </r>
  <r>
    <x v="429"/>
    <x v="1"/>
    <s v="Recruiter"/>
    <n v="2"/>
    <s v="Delhi"/>
    <s v="Yes"/>
    <x v="0"/>
    <s v="No"/>
    <s v="No"/>
    <s v="No"/>
    <x v="0"/>
    <x v="0"/>
  </r>
  <r>
    <x v="430"/>
    <x v="2"/>
    <s v="HR Executive"/>
    <n v="5"/>
    <s v="Delhi"/>
    <s v="Yes"/>
    <x v="0"/>
    <s v="No"/>
    <s v="No"/>
    <s v="No"/>
    <x v="0"/>
    <x v="0"/>
  </r>
  <r>
    <x v="431"/>
    <x v="0"/>
    <s v="Data Analyst"/>
    <n v="2"/>
    <s v="Bengaluru"/>
    <s v="Yes"/>
    <x v="0"/>
    <s v="No"/>
    <s v="No"/>
    <s v="No"/>
    <x v="0"/>
    <x v="0"/>
  </r>
  <r>
    <x v="432"/>
    <x v="4"/>
    <s v="HR Executive"/>
    <n v="3"/>
    <s v="Delhi"/>
    <s v="Yes"/>
    <x v="1"/>
    <s v="No"/>
    <s v="No"/>
    <s v="No"/>
    <x v="0"/>
    <x v="0"/>
  </r>
  <r>
    <x v="433"/>
    <x v="3"/>
    <s v="Recruiter"/>
    <n v="3"/>
    <s v="Noida"/>
    <s v="No"/>
    <x v="0"/>
    <s v="No"/>
    <s v="No"/>
    <s v="No"/>
    <x v="0"/>
    <x v="0"/>
  </r>
  <r>
    <x v="434"/>
    <x v="1"/>
    <s v="HR Executive"/>
    <n v="1"/>
    <s v="Pune"/>
    <s v="Yes"/>
    <x v="0"/>
    <s v="No"/>
    <s v="No"/>
    <s v="No"/>
    <x v="0"/>
    <x v="0"/>
  </r>
  <r>
    <x v="435"/>
    <x v="1"/>
    <s v="Software Engineer"/>
    <n v="0"/>
    <s v="Bengaluru"/>
    <s v="No"/>
    <x v="0"/>
    <s v="No"/>
    <s v="No"/>
    <s v="No"/>
    <x v="0"/>
    <x v="0"/>
  </r>
  <r>
    <x v="436"/>
    <x v="1"/>
    <s v="HR Executive"/>
    <n v="1"/>
    <s v="Bengaluru"/>
    <s v="Yes"/>
    <x v="0"/>
    <s v="No"/>
    <s v="No"/>
    <s v="No"/>
    <x v="0"/>
    <x v="0"/>
  </r>
  <r>
    <x v="437"/>
    <x v="2"/>
    <s v="Business Analyst"/>
    <n v="1"/>
    <s v="Gurugram"/>
    <s v="Yes"/>
    <x v="1"/>
    <s v="No"/>
    <s v="No"/>
    <s v="No"/>
    <x v="0"/>
    <x v="0"/>
  </r>
  <r>
    <x v="438"/>
    <x v="1"/>
    <s v="Software Engineer"/>
    <n v="0"/>
    <s v="Noida"/>
    <s v="No"/>
    <x v="0"/>
    <s v="No"/>
    <s v="No"/>
    <s v="No"/>
    <x v="0"/>
    <x v="0"/>
  </r>
  <r>
    <x v="439"/>
    <x v="1"/>
    <s v="Software Engineer"/>
    <n v="4"/>
    <s v="Gurugram"/>
    <s v="Yes"/>
    <x v="0"/>
    <s v="No"/>
    <s v="No"/>
    <s v="No"/>
    <x v="0"/>
    <x v="0"/>
  </r>
  <r>
    <x v="440"/>
    <x v="2"/>
    <s v="Software Engineer"/>
    <n v="6"/>
    <s v="Lucknow"/>
    <s v="Yes"/>
    <x v="1"/>
    <s v="Yes"/>
    <s v="Yes"/>
    <s v="Yes"/>
    <x v="1"/>
    <x v="1"/>
  </r>
  <r>
    <x v="441"/>
    <x v="0"/>
    <s v="HR Executive"/>
    <n v="3"/>
    <s v="Gurugram"/>
    <s v="Yes"/>
    <x v="1"/>
    <s v="Yes"/>
    <s v="No"/>
    <s v="No"/>
    <x v="0"/>
    <x v="0"/>
  </r>
  <r>
    <x v="442"/>
    <x v="1"/>
    <s v="Recruiter"/>
    <n v="4"/>
    <s v="Delhi"/>
    <s v="No"/>
    <x v="0"/>
    <s v="No"/>
    <s v="No"/>
    <s v="No"/>
    <x v="0"/>
    <x v="0"/>
  </r>
  <r>
    <x v="443"/>
    <x v="1"/>
    <s v="Recruiter"/>
    <n v="4"/>
    <s v="Bengaluru"/>
    <s v="No"/>
    <x v="0"/>
    <s v="No"/>
    <s v="No"/>
    <s v="No"/>
    <x v="0"/>
    <x v="0"/>
  </r>
  <r>
    <x v="444"/>
    <x v="0"/>
    <s v="HR Executive"/>
    <n v="2"/>
    <s v="Bengaluru"/>
    <s v="Yes"/>
    <x v="0"/>
    <s v="No"/>
    <s v="No"/>
    <s v="No"/>
    <x v="0"/>
    <x v="0"/>
  </r>
  <r>
    <x v="445"/>
    <x v="1"/>
    <s v="Data Analyst"/>
    <n v="3"/>
    <s v="Lucknow"/>
    <s v="Yes"/>
    <x v="0"/>
    <s v="No"/>
    <s v="No"/>
    <s v="No"/>
    <x v="0"/>
    <x v="0"/>
  </r>
  <r>
    <x v="446"/>
    <x v="1"/>
    <s v="Business Analyst"/>
    <n v="5"/>
    <s v="Delhi"/>
    <s v="Yes"/>
    <x v="0"/>
    <s v="No"/>
    <s v="No"/>
    <s v="No"/>
    <x v="0"/>
    <x v="0"/>
  </r>
  <r>
    <x v="447"/>
    <x v="0"/>
    <s v="Data Analyst"/>
    <n v="2"/>
    <s v="Pune"/>
    <s v="Yes"/>
    <x v="0"/>
    <s v="No"/>
    <s v="No"/>
    <s v="No"/>
    <x v="0"/>
    <x v="0"/>
  </r>
  <r>
    <x v="448"/>
    <x v="1"/>
    <s v="Recruiter"/>
    <n v="5"/>
    <s v="Noida"/>
    <s v="No"/>
    <x v="0"/>
    <s v="No"/>
    <s v="No"/>
    <s v="No"/>
    <x v="0"/>
    <x v="0"/>
  </r>
  <r>
    <x v="449"/>
    <x v="1"/>
    <s v="Software Engineer"/>
    <n v="2"/>
    <s v="Gurugram"/>
    <s v="Yes"/>
    <x v="1"/>
    <s v="No"/>
    <s v="No"/>
    <s v="No"/>
    <x v="0"/>
    <x v="0"/>
  </r>
  <r>
    <x v="450"/>
    <x v="3"/>
    <s v="Data Analyst"/>
    <n v="3"/>
    <s v="Pune"/>
    <s v="Yes"/>
    <x v="1"/>
    <s v="Yes"/>
    <s v="Yes"/>
    <s v="Yes"/>
    <x v="1"/>
    <x v="1"/>
  </r>
  <r>
    <x v="451"/>
    <x v="0"/>
    <s v="Data Analyst"/>
    <n v="4"/>
    <s v="Lucknow"/>
    <s v="Yes"/>
    <x v="0"/>
    <s v="No"/>
    <s v="No"/>
    <s v="No"/>
    <x v="0"/>
    <x v="0"/>
  </r>
  <r>
    <x v="452"/>
    <x v="1"/>
    <s v="HR Executive"/>
    <n v="3"/>
    <s v="Delhi"/>
    <s v="Yes"/>
    <x v="0"/>
    <s v="No"/>
    <s v="No"/>
    <s v="No"/>
    <x v="0"/>
    <x v="0"/>
  </r>
  <r>
    <x v="453"/>
    <x v="1"/>
    <s v="Business Analyst"/>
    <n v="5"/>
    <s v="Bengaluru"/>
    <s v="Yes"/>
    <x v="1"/>
    <s v="Yes"/>
    <s v="No"/>
    <s v="No"/>
    <x v="0"/>
    <x v="0"/>
  </r>
  <r>
    <x v="454"/>
    <x v="1"/>
    <s v="Business Analyst"/>
    <n v="4"/>
    <s v="Noida"/>
    <s v="Yes"/>
    <x v="0"/>
    <s v="No"/>
    <s v="No"/>
    <s v="No"/>
    <x v="0"/>
    <x v="0"/>
  </r>
  <r>
    <x v="455"/>
    <x v="1"/>
    <s v="Data Analyst"/>
    <n v="4"/>
    <s v="Lucknow"/>
    <s v="No"/>
    <x v="0"/>
    <s v="No"/>
    <s v="No"/>
    <s v="No"/>
    <x v="0"/>
    <x v="0"/>
  </r>
  <r>
    <x v="456"/>
    <x v="1"/>
    <s v="HR Executive"/>
    <n v="2"/>
    <s v="Noida"/>
    <s v="Yes"/>
    <x v="0"/>
    <s v="No"/>
    <s v="No"/>
    <s v="No"/>
    <x v="0"/>
    <x v="0"/>
  </r>
  <r>
    <x v="457"/>
    <x v="1"/>
    <s v="Data Analyst"/>
    <n v="4"/>
    <s v="Noida"/>
    <s v="No"/>
    <x v="0"/>
    <s v="No"/>
    <s v="No"/>
    <s v="No"/>
    <x v="0"/>
    <x v="0"/>
  </r>
  <r>
    <x v="458"/>
    <x v="1"/>
    <s v="Recruiter"/>
    <n v="3"/>
    <s v="Delhi"/>
    <s v="No"/>
    <x v="0"/>
    <s v="No"/>
    <s v="No"/>
    <s v="No"/>
    <x v="0"/>
    <x v="0"/>
  </r>
  <r>
    <x v="459"/>
    <x v="3"/>
    <s v="Business Analyst"/>
    <n v="1"/>
    <s v="Lucknow"/>
    <s v="No"/>
    <x v="0"/>
    <s v="No"/>
    <s v="No"/>
    <s v="No"/>
    <x v="0"/>
    <x v="0"/>
  </r>
  <r>
    <x v="460"/>
    <x v="1"/>
    <s v="HR Executive"/>
    <n v="5"/>
    <s v="Bengaluru"/>
    <s v="No"/>
    <x v="0"/>
    <s v="No"/>
    <s v="No"/>
    <s v="No"/>
    <x v="0"/>
    <x v="0"/>
  </r>
  <r>
    <x v="461"/>
    <x v="4"/>
    <s v="Data Analyst"/>
    <n v="5"/>
    <s v="Gurugram"/>
    <s v="No"/>
    <x v="0"/>
    <s v="No"/>
    <s v="No"/>
    <s v="No"/>
    <x v="0"/>
    <x v="0"/>
  </r>
  <r>
    <x v="462"/>
    <x v="0"/>
    <s v="Data Analyst"/>
    <n v="4"/>
    <s v="Delhi"/>
    <s v="Yes"/>
    <x v="0"/>
    <s v="No"/>
    <s v="No"/>
    <s v="No"/>
    <x v="0"/>
    <x v="0"/>
  </r>
  <r>
    <x v="463"/>
    <x v="4"/>
    <s v="Data Analyst"/>
    <n v="2"/>
    <s v="Lucknow"/>
    <s v="Yes"/>
    <x v="1"/>
    <s v="No"/>
    <s v="No"/>
    <s v="No"/>
    <x v="0"/>
    <x v="0"/>
  </r>
  <r>
    <x v="464"/>
    <x v="3"/>
    <s v="Software Engineer"/>
    <n v="3"/>
    <s v="Bengaluru"/>
    <s v="Yes"/>
    <x v="1"/>
    <s v="Yes"/>
    <s v="No"/>
    <s v="No"/>
    <x v="0"/>
    <x v="0"/>
  </r>
  <r>
    <x v="465"/>
    <x v="1"/>
    <s v="HR Executive"/>
    <n v="3"/>
    <s v="Bengaluru"/>
    <s v="No"/>
    <x v="0"/>
    <s v="No"/>
    <s v="No"/>
    <s v="No"/>
    <x v="0"/>
    <x v="0"/>
  </r>
  <r>
    <x v="466"/>
    <x v="1"/>
    <s v="Recruiter"/>
    <n v="2"/>
    <s v="Gurugram"/>
    <s v="Yes"/>
    <x v="0"/>
    <s v="No"/>
    <s v="No"/>
    <s v="No"/>
    <x v="0"/>
    <x v="0"/>
  </r>
  <r>
    <x v="467"/>
    <x v="1"/>
    <s v="Recruiter"/>
    <n v="0"/>
    <s v="Delhi"/>
    <s v="Yes"/>
    <x v="0"/>
    <s v="No"/>
    <s v="No"/>
    <s v="No"/>
    <x v="0"/>
    <x v="0"/>
  </r>
  <r>
    <x v="468"/>
    <x v="1"/>
    <s v="Data Analyst"/>
    <n v="3"/>
    <s v="Gurugram"/>
    <s v="Yes"/>
    <x v="1"/>
    <s v="Yes"/>
    <s v="No"/>
    <s v="No"/>
    <x v="0"/>
    <x v="0"/>
  </r>
  <r>
    <x v="469"/>
    <x v="3"/>
    <s v="HR Executive"/>
    <n v="6"/>
    <s v="Lucknow"/>
    <s v="Yes"/>
    <x v="0"/>
    <s v="No"/>
    <s v="No"/>
    <s v="No"/>
    <x v="0"/>
    <x v="0"/>
  </r>
  <r>
    <x v="470"/>
    <x v="1"/>
    <s v="Business Analyst"/>
    <n v="4"/>
    <s v="Lucknow"/>
    <s v="Yes"/>
    <x v="0"/>
    <s v="No"/>
    <s v="No"/>
    <s v="No"/>
    <x v="0"/>
    <x v="0"/>
  </r>
  <r>
    <x v="471"/>
    <x v="1"/>
    <s v="Business Analyst"/>
    <n v="2"/>
    <s v="Gurugram"/>
    <s v="Yes"/>
    <x v="0"/>
    <s v="No"/>
    <s v="No"/>
    <s v="No"/>
    <x v="0"/>
    <x v="0"/>
  </r>
  <r>
    <x v="472"/>
    <x v="1"/>
    <s v="Software Engineer"/>
    <n v="0"/>
    <s v="Gurugram"/>
    <s v="No"/>
    <x v="0"/>
    <s v="No"/>
    <s v="No"/>
    <s v="No"/>
    <x v="0"/>
    <x v="0"/>
  </r>
  <r>
    <x v="473"/>
    <x v="3"/>
    <s v="HR Executive"/>
    <n v="0"/>
    <s v="Gurugram"/>
    <s v="Yes"/>
    <x v="0"/>
    <s v="No"/>
    <s v="No"/>
    <s v="No"/>
    <x v="0"/>
    <x v="0"/>
  </r>
  <r>
    <x v="474"/>
    <x v="1"/>
    <s v="Data Analyst"/>
    <n v="6"/>
    <s v="Delhi"/>
    <s v="Yes"/>
    <x v="0"/>
    <s v="No"/>
    <s v="No"/>
    <s v="No"/>
    <x v="0"/>
    <x v="0"/>
  </r>
  <r>
    <x v="475"/>
    <x v="3"/>
    <s v="HR Executive"/>
    <n v="5"/>
    <s v="Lucknow"/>
    <s v="Yes"/>
    <x v="1"/>
    <s v="No"/>
    <s v="No"/>
    <s v="No"/>
    <x v="0"/>
    <x v="0"/>
  </r>
  <r>
    <x v="476"/>
    <x v="1"/>
    <s v="Data Analyst"/>
    <n v="5"/>
    <s v="Gurugram"/>
    <s v="No"/>
    <x v="0"/>
    <s v="No"/>
    <s v="No"/>
    <s v="No"/>
    <x v="0"/>
    <x v="0"/>
  </r>
  <r>
    <x v="477"/>
    <x v="1"/>
    <s v="Business Analyst"/>
    <n v="6"/>
    <s v="Noida"/>
    <s v="Yes"/>
    <x v="0"/>
    <s v="No"/>
    <s v="No"/>
    <s v="No"/>
    <x v="0"/>
    <x v="0"/>
  </r>
  <r>
    <x v="478"/>
    <x v="1"/>
    <s v="Software Engineer"/>
    <n v="3"/>
    <s v="Bengaluru"/>
    <s v="Yes"/>
    <x v="1"/>
    <s v="No"/>
    <s v="No"/>
    <s v="No"/>
    <x v="0"/>
    <x v="0"/>
  </r>
  <r>
    <x v="479"/>
    <x v="1"/>
    <s v="Data Analyst"/>
    <n v="1"/>
    <s v="Noida"/>
    <s v="Yes"/>
    <x v="0"/>
    <s v="No"/>
    <s v="No"/>
    <s v="No"/>
    <x v="0"/>
    <x v="0"/>
  </r>
  <r>
    <x v="480"/>
    <x v="1"/>
    <s v="HR Executive"/>
    <n v="1"/>
    <s v="Bengaluru"/>
    <s v="Yes"/>
    <x v="1"/>
    <s v="Yes"/>
    <s v="Yes"/>
    <s v="Yes"/>
    <x v="1"/>
    <x v="1"/>
  </r>
  <r>
    <x v="481"/>
    <x v="2"/>
    <s v="HR Executive"/>
    <n v="5"/>
    <s v="Pune"/>
    <s v="No"/>
    <x v="0"/>
    <s v="No"/>
    <s v="No"/>
    <s v="No"/>
    <x v="0"/>
    <x v="0"/>
  </r>
  <r>
    <x v="482"/>
    <x v="4"/>
    <s v="Business Analyst"/>
    <n v="2"/>
    <s v="Gurugram"/>
    <s v="Yes"/>
    <x v="1"/>
    <s v="No"/>
    <s v="No"/>
    <s v="No"/>
    <x v="0"/>
    <x v="0"/>
  </r>
  <r>
    <x v="483"/>
    <x v="3"/>
    <s v="Recruiter"/>
    <n v="1"/>
    <s v="Lucknow"/>
    <s v="Yes"/>
    <x v="1"/>
    <s v="No"/>
    <s v="No"/>
    <s v="No"/>
    <x v="0"/>
    <x v="0"/>
  </r>
  <r>
    <x v="484"/>
    <x v="2"/>
    <s v="Data Analyst"/>
    <n v="3"/>
    <s v="Pune"/>
    <s v="Yes"/>
    <x v="0"/>
    <s v="No"/>
    <s v="No"/>
    <s v="No"/>
    <x v="0"/>
    <x v="0"/>
  </r>
  <r>
    <x v="485"/>
    <x v="1"/>
    <s v="Data Analyst"/>
    <n v="1"/>
    <s v="Bengaluru"/>
    <s v="Yes"/>
    <x v="1"/>
    <s v="No"/>
    <s v="No"/>
    <s v="No"/>
    <x v="0"/>
    <x v="0"/>
  </r>
  <r>
    <x v="486"/>
    <x v="0"/>
    <s v="Business Analyst"/>
    <n v="1"/>
    <s v="Pune"/>
    <s v="No"/>
    <x v="0"/>
    <s v="No"/>
    <s v="No"/>
    <s v="No"/>
    <x v="0"/>
    <x v="0"/>
  </r>
  <r>
    <x v="487"/>
    <x v="2"/>
    <s v="Recruiter"/>
    <n v="6"/>
    <s v="Delhi"/>
    <s v="Yes"/>
    <x v="0"/>
    <s v="No"/>
    <s v="No"/>
    <s v="No"/>
    <x v="0"/>
    <x v="0"/>
  </r>
  <r>
    <x v="488"/>
    <x v="2"/>
    <s v="Business Analyst"/>
    <n v="4"/>
    <s v="Lucknow"/>
    <s v="Yes"/>
    <x v="1"/>
    <s v="Yes"/>
    <s v="Yes"/>
    <s v="No"/>
    <x v="0"/>
    <x v="0"/>
  </r>
  <r>
    <x v="489"/>
    <x v="2"/>
    <s v="Business Analyst"/>
    <n v="3"/>
    <s v="Pune"/>
    <s v="Yes"/>
    <x v="1"/>
    <s v="Yes"/>
    <s v="Yes"/>
    <s v="Yes"/>
    <x v="1"/>
    <x v="1"/>
  </r>
  <r>
    <x v="490"/>
    <x v="4"/>
    <s v="Data Analyst"/>
    <n v="1"/>
    <s v="Noida"/>
    <s v="Yes"/>
    <x v="0"/>
    <s v="No"/>
    <s v="No"/>
    <s v="No"/>
    <x v="0"/>
    <x v="0"/>
  </r>
  <r>
    <x v="491"/>
    <x v="2"/>
    <s v="Recruiter"/>
    <n v="0"/>
    <s v="Delhi"/>
    <s v="Yes"/>
    <x v="0"/>
    <s v="No"/>
    <s v="No"/>
    <s v="No"/>
    <x v="0"/>
    <x v="0"/>
  </r>
  <r>
    <x v="492"/>
    <x v="2"/>
    <s v="Business Analyst"/>
    <n v="6"/>
    <s v="Noida"/>
    <s v="No"/>
    <x v="0"/>
    <s v="No"/>
    <s v="No"/>
    <s v="No"/>
    <x v="0"/>
    <x v="0"/>
  </r>
  <r>
    <x v="493"/>
    <x v="3"/>
    <s v="Software Engineer"/>
    <n v="3"/>
    <s v="Pune"/>
    <s v="Yes"/>
    <x v="1"/>
    <s v="Yes"/>
    <s v="Yes"/>
    <s v="No"/>
    <x v="0"/>
    <x v="0"/>
  </r>
  <r>
    <x v="494"/>
    <x v="2"/>
    <s v="Software Engineer"/>
    <n v="5"/>
    <s v="Noida"/>
    <s v="Yes"/>
    <x v="0"/>
    <s v="No"/>
    <s v="No"/>
    <s v="No"/>
    <x v="0"/>
    <x v="0"/>
  </r>
  <r>
    <x v="495"/>
    <x v="0"/>
    <s v="Software Engineer"/>
    <n v="6"/>
    <s v="Noida"/>
    <s v="Yes"/>
    <x v="0"/>
    <s v="No"/>
    <s v="No"/>
    <s v="No"/>
    <x v="0"/>
    <x v="0"/>
  </r>
  <r>
    <x v="496"/>
    <x v="1"/>
    <s v="Recruiter"/>
    <n v="5"/>
    <s v="Noida"/>
    <s v="Yes"/>
    <x v="0"/>
    <s v="No"/>
    <s v="No"/>
    <s v="No"/>
    <x v="0"/>
    <x v="0"/>
  </r>
  <r>
    <x v="497"/>
    <x v="4"/>
    <s v="Software Engineer"/>
    <n v="3"/>
    <s v="Pune"/>
    <s v="Yes"/>
    <x v="0"/>
    <s v="No"/>
    <s v="No"/>
    <s v="No"/>
    <x v="0"/>
    <x v="0"/>
  </r>
  <r>
    <x v="498"/>
    <x v="4"/>
    <s v="Software Engineer"/>
    <n v="1"/>
    <s v="Bengaluru"/>
    <s v="Yes"/>
    <x v="0"/>
    <s v="No"/>
    <s v="No"/>
    <s v="No"/>
    <x v="0"/>
    <x v="0"/>
  </r>
  <r>
    <x v="498"/>
    <x v="1"/>
    <s v="Business Analyst"/>
    <n v="1"/>
    <s v="Noida"/>
    <s v="No"/>
    <x v="0"/>
    <s v="No"/>
    <s v="No"/>
    <s v="No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40CF83-DE50-43DE-A6EC-B113C72D96CE}" name="PivotTable7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0" firstHeaderRow="1" firstDataRow="2" firstDataCol="1"/>
  <pivotFields count="12">
    <pivotField dataField="1" showAll="0">
      <items count="5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multipleItemSelectionAllowed="1" showAll="0" countASubtotal="1">
      <items count="3">
        <item x="0"/>
        <item x="1"/>
        <item t="countA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ount of Candidate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A79AC-9690-4EB7-B70C-359F3114EB81}">
  <dimension ref="A3:D10"/>
  <sheetViews>
    <sheetView workbookViewId="0">
      <selection activeCell="A3" sqref="A3:D10"/>
    </sheetView>
  </sheetViews>
  <sheetFormatPr defaultRowHeight="15" x14ac:dyDescent="0.25"/>
  <cols>
    <col min="1" max="1" width="21.140625" bestFit="1" customWidth="1"/>
    <col min="2" max="2" width="16.28515625" bestFit="1" customWidth="1"/>
    <col min="3" max="3" width="4.140625" bestFit="1" customWidth="1"/>
    <col min="4" max="4" width="11.28515625" bestFit="1" customWidth="1"/>
  </cols>
  <sheetData>
    <row r="3" spans="1:4" x14ac:dyDescent="0.25">
      <c r="A3" s="10" t="s">
        <v>537</v>
      </c>
      <c r="B3" s="10" t="s">
        <v>538</v>
      </c>
    </row>
    <row r="4" spans="1:4" x14ac:dyDescent="0.25">
      <c r="A4" s="10" t="s">
        <v>535</v>
      </c>
      <c r="B4" t="s">
        <v>17</v>
      </c>
      <c r="C4" t="s">
        <v>16</v>
      </c>
      <c r="D4" t="s">
        <v>536</v>
      </c>
    </row>
    <row r="5" spans="1:4" x14ac:dyDescent="0.25">
      <c r="A5" s="11" t="s">
        <v>50</v>
      </c>
      <c r="B5" s="12">
        <v>44</v>
      </c>
      <c r="C5" s="12">
        <v>4</v>
      </c>
      <c r="D5" s="12">
        <v>48</v>
      </c>
    </row>
    <row r="6" spans="1:4" x14ac:dyDescent="0.25">
      <c r="A6" s="11" t="s">
        <v>32</v>
      </c>
      <c r="B6" s="12">
        <v>122</v>
      </c>
      <c r="C6" s="12">
        <v>16</v>
      </c>
      <c r="D6" s="12">
        <v>138</v>
      </c>
    </row>
    <row r="7" spans="1:4" x14ac:dyDescent="0.25">
      <c r="A7" s="11" t="s">
        <v>22</v>
      </c>
      <c r="B7" s="12">
        <v>153</v>
      </c>
      <c r="C7" s="12">
        <v>11</v>
      </c>
      <c r="D7" s="12">
        <v>164</v>
      </c>
    </row>
    <row r="8" spans="1:4" x14ac:dyDescent="0.25">
      <c r="A8" s="11" t="s">
        <v>13</v>
      </c>
      <c r="B8" s="12">
        <v>75</v>
      </c>
      <c r="C8" s="12">
        <v>2</v>
      </c>
      <c r="D8" s="12">
        <v>77</v>
      </c>
    </row>
    <row r="9" spans="1:4" x14ac:dyDescent="0.25">
      <c r="A9" s="11" t="s">
        <v>25</v>
      </c>
      <c r="B9" s="12">
        <v>64</v>
      </c>
      <c r="C9" s="12">
        <v>9</v>
      </c>
      <c r="D9" s="12">
        <v>73</v>
      </c>
    </row>
    <row r="10" spans="1:4" x14ac:dyDescent="0.25">
      <c r="A10" s="11" t="s">
        <v>536</v>
      </c>
      <c r="B10" s="12">
        <v>458</v>
      </c>
      <c r="C10" s="12">
        <v>42</v>
      </c>
      <c r="D10" s="12">
        <v>500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workbookViewId="0">
      <selection activeCell="A6" sqref="A6"/>
    </sheetView>
  </sheetViews>
  <sheetFormatPr defaultRowHeight="15" x14ac:dyDescent="0.25"/>
  <cols>
    <col min="1" max="1" width="13.140625" customWidth="1"/>
    <col min="4" max="4" width="12.85546875" customWidth="1"/>
    <col min="6" max="6" width="10.5703125" customWidth="1"/>
    <col min="7" max="7" width="13.28515625" customWidth="1"/>
    <col min="8" max="8" width="11.85546875" customWidth="1"/>
    <col min="10" max="10" width="12.85546875" customWidth="1"/>
    <col min="11" max="11" width="15.28515625" customWidth="1"/>
    <col min="14" max="14" width="10.71093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2"/>
    </row>
    <row r="2" spans="1:13" x14ac:dyDescent="0.25">
      <c r="A2" t="s">
        <v>12</v>
      </c>
      <c r="B2" t="s">
        <v>13</v>
      </c>
      <c r="C2" t="s">
        <v>14</v>
      </c>
      <c r="D2">
        <v>2</v>
      </c>
      <c r="E2" t="s">
        <v>15</v>
      </c>
      <c r="F2" t="s">
        <v>16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s="4" t="s">
        <v>17</v>
      </c>
    </row>
    <row r="3" spans="1:13" x14ac:dyDescent="0.25">
      <c r="A3" t="s">
        <v>18</v>
      </c>
      <c r="B3" t="s">
        <v>13</v>
      </c>
      <c r="C3" t="s">
        <v>19</v>
      </c>
      <c r="D3">
        <v>0</v>
      </c>
      <c r="E3" t="s">
        <v>20</v>
      </c>
      <c r="F3" t="s">
        <v>16</v>
      </c>
      <c r="G3" t="s">
        <v>16</v>
      </c>
      <c r="H3" t="s">
        <v>16</v>
      </c>
      <c r="I3" t="s">
        <v>17</v>
      </c>
      <c r="J3" t="s">
        <v>17</v>
      </c>
      <c r="K3" t="s">
        <v>17</v>
      </c>
      <c r="L3" s="4" t="s">
        <v>17</v>
      </c>
    </row>
    <row r="4" spans="1:13" x14ac:dyDescent="0.25">
      <c r="A4" t="s">
        <v>21</v>
      </c>
      <c r="B4" t="s">
        <v>22</v>
      </c>
      <c r="C4" t="s">
        <v>14</v>
      </c>
      <c r="D4">
        <v>5</v>
      </c>
      <c r="E4" t="s">
        <v>23</v>
      </c>
      <c r="F4" t="s">
        <v>16</v>
      </c>
      <c r="G4" t="s">
        <v>16</v>
      </c>
      <c r="H4" t="s">
        <v>17</v>
      </c>
      <c r="I4" t="s">
        <v>17</v>
      </c>
      <c r="J4" t="s">
        <v>17</v>
      </c>
      <c r="K4" t="s">
        <v>17</v>
      </c>
      <c r="L4" s="4" t="s">
        <v>17</v>
      </c>
    </row>
    <row r="5" spans="1:13" x14ac:dyDescent="0.25">
      <c r="A5" t="s">
        <v>24</v>
      </c>
      <c r="B5" t="s">
        <v>25</v>
      </c>
      <c r="C5" t="s">
        <v>14</v>
      </c>
      <c r="D5">
        <v>6</v>
      </c>
      <c r="E5" t="s">
        <v>15</v>
      </c>
      <c r="F5" t="s">
        <v>16</v>
      </c>
      <c r="G5" t="s">
        <v>16</v>
      </c>
      <c r="H5" t="s">
        <v>16</v>
      </c>
      <c r="I5" t="s">
        <v>17</v>
      </c>
      <c r="J5" t="s">
        <v>17</v>
      </c>
      <c r="K5" t="s">
        <v>17</v>
      </c>
      <c r="L5" s="4" t="s">
        <v>17</v>
      </c>
    </row>
    <row r="6" spans="1:13" x14ac:dyDescent="0.25">
      <c r="A6" t="s">
        <v>26</v>
      </c>
      <c r="B6" t="s">
        <v>22</v>
      </c>
      <c r="C6" t="s">
        <v>14</v>
      </c>
      <c r="D6">
        <v>0</v>
      </c>
      <c r="E6" t="s">
        <v>27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s="4" t="s">
        <v>17</v>
      </c>
    </row>
    <row r="7" spans="1:13" x14ac:dyDescent="0.25">
      <c r="A7" t="s">
        <v>28</v>
      </c>
      <c r="B7" t="s">
        <v>13</v>
      </c>
      <c r="C7" t="s">
        <v>29</v>
      </c>
      <c r="D7">
        <v>5</v>
      </c>
      <c r="E7" t="s">
        <v>30</v>
      </c>
      <c r="F7" t="s">
        <v>16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s="4" t="s">
        <v>17</v>
      </c>
    </row>
    <row r="8" spans="1:13" x14ac:dyDescent="0.25">
      <c r="A8" t="s">
        <v>31</v>
      </c>
      <c r="B8" t="s">
        <v>32</v>
      </c>
      <c r="C8" t="s">
        <v>33</v>
      </c>
      <c r="D8">
        <v>6</v>
      </c>
      <c r="E8" t="s">
        <v>23</v>
      </c>
      <c r="F8" t="s">
        <v>16</v>
      </c>
      <c r="G8" t="s">
        <v>17</v>
      </c>
      <c r="H8" t="s">
        <v>17</v>
      </c>
      <c r="I8" t="s">
        <v>17</v>
      </c>
      <c r="J8" t="s">
        <v>17</v>
      </c>
      <c r="K8" t="s">
        <v>17</v>
      </c>
      <c r="L8" s="4" t="s">
        <v>17</v>
      </c>
    </row>
    <row r="9" spans="1:13" x14ac:dyDescent="0.25">
      <c r="A9" t="s">
        <v>34</v>
      </c>
      <c r="B9" t="s">
        <v>32</v>
      </c>
      <c r="C9" t="s">
        <v>29</v>
      </c>
      <c r="D9">
        <v>0</v>
      </c>
      <c r="E9" t="s">
        <v>23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s="4" t="s">
        <v>16</v>
      </c>
    </row>
    <row r="10" spans="1:13" x14ac:dyDescent="0.25">
      <c r="A10" t="s">
        <v>35</v>
      </c>
      <c r="B10" t="s">
        <v>32</v>
      </c>
      <c r="C10" t="s">
        <v>36</v>
      </c>
      <c r="D10">
        <v>1</v>
      </c>
      <c r="E10" t="s">
        <v>23</v>
      </c>
      <c r="F10" t="s">
        <v>16</v>
      </c>
      <c r="G10" t="s">
        <v>17</v>
      </c>
      <c r="H10" t="s">
        <v>17</v>
      </c>
      <c r="I10" t="s">
        <v>17</v>
      </c>
      <c r="J10" t="s">
        <v>17</v>
      </c>
      <c r="K10" t="s">
        <v>17</v>
      </c>
      <c r="L10" s="4" t="s">
        <v>17</v>
      </c>
    </row>
    <row r="11" spans="1:13" x14ac:dyDescent="0.25">
      <c r="A11" t="s">
        <v>37</v>
      </c>
      <c r="B11" t="s">
        <v>13</v>
      </c>
      <c r="C11" t="s">
        <v>33</v>
      </c>
      <c r="D11">
        <v>1</v>
      </c>
      <c r="E11" t="s">
        <v>20</v>
      </c>
      <c r="F11" t="s">
        <v>17</v>
      </c>
      <c r="G11" t="s">
        <v>17</v>
      </c>
      <c r="H11" t="s">
        <v>17</v>
      </c>
      <c r="I11" t="s">
        <v>17</v>
      </c>
      <c r="J11" t="s">
        <v>17</v>
      </c>
      <c r="K11" t="s">
        <v>17</v>
      </c>
      <c r="L11" s="4" t="s">
        <v>17</v>
      </c>
    </row>
    <row r="12" spans="1:13" x14ac:dyDescent="0.25">
      <c r="A12" t="s">
        <v>38</v>
      </c>
      <c r="B12" t="s">
        <v>22</v>
      </c>
      <c r="C12" t="s">
        <v>36</v>
      </c>
      <c r="D12">
        <v>5</v>
      </c>
      <c r="E12" t="s">
        <v>23</v>
      </c>
      <c r="F12" t="s">
        <v>16</v>
      </c>
      <c r="G12" t="s">
        <v>17</v>
      </c>
      <c r="H12" t="s">
        <v>17</v>
      </c>
      <c r="I12" t="s">
        <v>17</v>
      </c>
      <c r="J12" t="s">
        <v>17</v>
      </c>
      <c r="K12" t="s">
        <v>17</v>
      </c>
      <c r="L12" s="4" t="s">
        <v>17</v>
      </c>
    </row>
    <row r="13" spans="1:13" x14ac:dyDescent="0.25">
      <c r="A13" t="s">
        <v>39</v>
      </c>
      <c r="B13" t="s">
        <v>25</v>
      </c>
      <c r="C13" t="s">
        <v>29</v>
      </c>
      <c r="D13">
        <v>1</v>
      </c>
      <c r="E13" t="s">
        <v>40</v>
      </c>
      <c r="F13" t="s">
        <v>17</v>
      </c>
      <c r="G13" t="s">
        <v>17</v>
      </c>
      <c r="H13" t="s">
        <v>17</v>
      </c>
      <c r="I13" t="s">
        <v>17</v>
      </c>
      <c r="J13" t="s">
        <v>17</v>
      </c>
      <c r="K13" t="s">
        <v>17</v>
      </c>
      <c r="L13" s="4" t="s">
        <v>17</v>
      </c>
    </row>
    <row r="14" spans="1:13" x14ac:dyDescent="0.25">
      <c r="A14" t="s">
        <v>41</v>
      </c>
      <c r="B14" t="s">
        <v>32</v>
      </c>
      <c r="C14" t="s">
        <v>14</v>
      </c>
      <c r="D14">
        <v>4</v>
      </c>
      <c r="E14" t="s">
        <v>23</v>
      </c>
      <c r="F14" t="s">
        <v>16</v>
      </c>
      <c r="G14" t="s">
        <v>17</v>
      </c>
      <c r="H14" t="s">
        <v>17</v>
      </c>
      <c r="I14" t="s">
        <v>17</v>
      </c>
      <c r="J14" t="s">
        <v>17</v>
      </c>
      <c r="K14" t="s">
        <v>17</v>
      </c>
      <c r="L14" s="4" t="s">
        <v>17</v>
      </c>
    </row>
    <row r="15" spans="1:13" x14ac:dyDescent="0.25">
      <c r="A15" t="s">
        <v>42</v>
      </c>
      <c r="B15" t="s">
        <v>32</v>
      </c>
      <c r="C15" t="s">
        <v>19</v>
      </c>
      <c r="D15">
        <v>3</v>
      </c>
      <c r="E15" t="s">
        <v>15</v>
      </c>
      <c r="F15" t="s">
        <v>16</v>
      </c>
      <c r="G15" t="s">
        <v>16</v>
      </c>
      <c r="H15" t="s">
        <v>16</v>
      </c>
      <c r="I15" t="s">
        <v>16</v>
      </c>
      <c r="J15" t="s">
        <v>16</v>
      </c>
      <c r="K15" t="s">
        <v>17</v>
      </c>
      <c r="L15" s="4" t="s">
        <v>17</v>
      </c>
    </row>
    <row r="16" spans="1:13" x14ac:dyDescent="0.25">
      <c r="A16" t="s">
        <v>43</v>
      </c>
      <c r="B16" t="s">
        <v>32</v>
      </c>
      <c r="C16" t="s">
        <v>14</v>
      </c>
      <c r="D16">
        <v>1</v>
      </c>
      <c r="E16" t="s">
        <v>20</v>
      </c>
      <c r="F16" t="s">
        <v>16</v>
      </c>
      <c r="G16" t="s">
        <v>17</v>
      </c>
      <c r="H16" t="s">
        <v>17</v>
      </c>
      <c r="I16" t="s">
        <v>17</v>
      </c>
      <c r="J16" t="s">
        <v>17</v>
      </c>
      <c r="K16" t="s">
        <v>17</v>
      </c>
      <c r="L16" s="4" t="s">
        <v>17</v>
      </c>
    </row>
    <row r="17" spans="1:12" x14ac:dyDescent="0.25">
      <c r="A17" t="s">
        <v>44</v>
      </c>
      <c r="B17" t="s">
        <v>25</v>
      </c>
      <c r="C17" t="s">
        <v>14</v>
      </c>
      <c r="D17">
        <v>1</v>
      </c>
      <c r="E17" t="s">
        <v>23</v>
      </c>
      <c r="F17" t="s">
        <v>16</v>
      </c>
      <c r="G17" t="s">
        <v>16</v>
      </c>
      <c r="H17" t="s">
        <v>16</v>
      </c>
      <c r="I17" t="s">
        <v>17</v>
      </c>
      <c r="J17" t="s">
        <v>17</v>
      </c>
      <c r="K17" t="s">
        <v>17</v>
      </c>
      <c r="L17" s="4" t="s">
        <v>17</v>
      </c>
    </row>
    <row r="18" spans="1:12" x14ac:dyDescent="0.25">
      <c r="A18" t="s">
        <v>45</v>
      </c>
      <c r="B18" t="s">
        <v>32</v>
      </c>
      <c r="C18" t="s">
        <v>19</v>
      </c>
      <c r="D18">
        <v>6</v>
      </c>
      <c r="E18" t="s">
        <v>40</v>
      </c>
      <c r="F18" t="s">
        <v>16</v>
      </c>
      <c r="G18" t="s">
        <v>16</v>
      </c>
      <c r="H18" t="s">
        <v>17</v>
      </c>
      <c r="I18" t="s">
        <v>17</v>
      </c>
      <c r="J18" t="s">
        <v>17</v>
      </c>
      <c r="K18" t="s">
        <v>17</v>
      </c>
      <c r="L18" s="4" t="s">
        <v>17</v>
      </c>
    </row>
    <row r="19" spans="1:12" x14ac:dyDescent="0.25">
      <c r="A19" t="s">
        <v>46</v>
      </c>
      <c r="B19" t="s">
        <v>25</v>
      </c>
      <c r="C19" t="s">
        <v>29</v>
      </c>
      <c r="D19">
        <v>2</v>
      </c>
      <c r="E19" t="s">
        <v>40</v>
      </c>
      <c r="F19" t="s">
        <v>16</v>
      </c>
      <c r="G19" t="s">
        <v>16</v>
      </c>
      <c r="H19" t="s">
        <v>16</v>
      </c>
      <c r="I19" t="s">
        <v>17</v>
      </c>
      <c r="J19" t="s">
        <v>17</v>
      </c>
      <c r="K19" t="s">
        <v>17</v>
      </c>
      <c r="L19" s="4" t="s">
        <v>17</v>
      </c>
    </row>
    <row r="20" spans="1:12" x14ac:dyDescent="0.25">
      <c r="A20" t="s">
        <v>47</v>
      </c>
      <c r="B20" t="s">
        <v>13</v>
      </c>
      <c r="C20" t="s">
        <v>19</v>
      </c>
      <c r="D20">
        <v>6</v>
      </c>
      <c r="E20" t="s">
        <v>15</v>
      </c>
      <c r="F20" t="s">
        <v>16</v>
      </c>
      <c r="G20" t="s">
        <v>16</v>
      </c>
      <c r="H20" t="s">
        <v>17</v>
      </c>
      <c r="I20" t="s">
        <v>17</v>
      </c>
      <c r="J20" t="s">
        <v>17</v>
      </c>
      <c r="K20" t="s">
        <v>17</v>
      </c>
      <c r="L20" s="4" t="s">
        <v>17</v>
      </c>
    </row>
    <row r="21" spans="1:12" x14ac:dyDescent="0.25">
      <c r="A21" t="s">
        <v>48</v>
      </c>
      <c r="B21" t="s">
        <v>25</v>
      </c>
      <c r="C21" t="s">
        <v>33</v>
      </c>
      <c r="D21">
        <v>1</v>
      </c>
      <c r="E21" t="s">
        <v>15</v>
      </c>
      <c r="F21" t="s">
        <v>16</v>
      </c>
      <c r="G21" t="s">
        <v>16</v>
      </c>
      <c r="H21" t="s">
        <v>17</v>
      </c>
      <c r="I21" t="s">
        <v>17</v>
      </c>
      <c r="J21" t="s">
        <v>17</v>
      </c>
      <c r="K21" t="s">
        <v>17</v>
      </c>
      <c r="L21" s="4" t="s">
        <v>17</v>
      </c>
    </row>
    <row r="22" spans="1:12" x14ac:dyDescent="0.25">
      <c r="A22" t="s">
        <v>49</v>
      </c>
      <c r="B22" t="s">
        <v>50</v>
      </c>
      <c r="C22" t="s">
        <v>19</v>
      </c>
      <c r="D22">
        <v>4</v>
      </c>
      <c r="E22" t="s">
        <v>27</v>
      </c>
      <c r="F22" t="s">
        <v>16</v>
      </c>
      <c r="G22" t="s">
        <v>16</v>
      </c>
      <c r="H22" t="s">
        <v>16</v>
      </c>
      <c r="I22" t="s">
        <v>17</v>
      </c>
      <c r="J22" t="s">
        <v>17</v>
      </c>
      <c r="K22" t="s">
        <v>17</v>
      </c>
      <c r="L22" s="4" t="s">
        <v>17</v>
      </c>
    </row>
    <row r="23" spans="1:12" x14ac:dyDescent="0.25">
      <c r="A23" t="s">
        <v>51</v>
      </c>
      <c r="B23" t="s">
        <v>25</v>
      </c>
      <c r="C23" t="s">
        <v>14</v>
      </c>
      <c r="D23">
        <v>1</v>
      </c>
      <c r="E23" t="s">
        <v>20</v>
      </c>
      <c r="F23" t="s">
        <v>17</v>
      </c>
      <c r="G23" t="s">
        <v>17</v>
      </c>
      <c r="H23" t="s">
        <v>17</v>
      </c>
      <c r="I23" t="s">
        <v>17</v>
      </c>
      <c r="J23" t="s">
        <v>17</v>
      </c>
      <c r="K23" t="s">
        <v>17</v>
      </c>
      <c r="L23" s="4" t="s">
        <v>17</v>
      </c>
    </row>
    <row r="24" spans="1:12" x14ac:dyDescent="0.25">
      <c r="A24" t="s">
        <v>52</v>
      </c>
      <c r="B24" t="s">
        <v>22</v>
      </c>
      <c r="C24" t="s">
        <v>33</v>
      </c>
      <c r="D24">
        <v>0</v>
      </c>
      <c r="E24" t="s">
        <v>20</v>
      </c>
      <c r="F24" t="s">
        <v>17</v>
      </c>
      <c r="G24" t="s">
        <v>17</v>
      </c>
      <c r="H24" t="s">
        <v>17</v>
      </c>
      <c r="I24" t="s">
        <v>17</v>
      </c>
      <c r="J24" t="s">
        <v>17</v>
      </c>
      <c r="K24" t="s">
        <v>17</v>
      </c>
      <c r="L24" s="4" t="s">
        <v>17</v>
      </c>
    </row>
    <row r="25" spans="1:12" x14ac:dyDescent="0.25">
      <c r="A25" t="s">
        <v>53</v>
      </c>
      <c r="B25" t="s">
        <v>22</v>
      </c>
      <c r="C25" t="s">
        <v>33</v>
      </c>
      <c r="D25">
        <v>4</v>
      </c>
      <c r="E25" t="s">
        <v>15</v>
      </c>
      <c r="F25" t="s">
        <v>16</v>
      </c>
      <c r="G25" t="s">
        <v>17</v>
      </c>
      <c r="H25" t="s">
        <v>17</v>
      </c>
      <c r="I25" t="s">
        <v>17</v>
      </c>
      <c r="J25" t="s">
        <v>17</v>
      </c>
      <c r="K25" t="s">
        <v>17</v>
      </c>
      <c r="L25" s="4" t="s">
        <v>17</v>
      </c>
    </row>
    <row r="26" spans="1:12" x14ac:dyDescent="0.25">
      <c r="A26" t="s">
        <v>54</v>
      </c>
      <c r="B26" t="s">
        <v>32</v>
      </c>
      <c r="C26" t="s">
        <v>14</v>
      </c>
      <c r="D26">
        <v>4</v>
      </c>
      <c r="E26" t="s">
        <v>23</v>
      </c>
      <c r="F26" t="s">
        <v>16</v>
      </c>
      <c r="G26" t="s">
        <v>17</v>
      </c>
      <c r="H26" t="s">
        <v>17</v>
      </c>
      <c r="I26" t="s">
        <v>17</v>
      </c>
      <c r="J26" t="s">
        <v>17</v>
      </c>
      <c r="K26" t="s">
        <v>17</v>
      </c>
      <c r="L26" s="4" t="s">
        <v>17</v>
      </c>
    </row>
    <row r="27" spans="1:12" x14ac:dyDescent="0.25">
      <c r="A27" t="s">
        <v>55</v>
      </c>
      <c r="B27" t="s">
        <v>32</v>
      </c>
      <c r="C27" t="s">
        <v>29</v>
      </c>
      <c r="D27">
        <v>2</v>
      </c>
      <c r="E27" t="s">
        <v>30</v>
      </c>
      <c r="F27" t="s">
        <v>17</v>
      </c>
      <c r="G27" t="s">
        <v>17</v>
      </c>
      <c r="H27" t="s">
        <v>17</v>
      </c>
      <c r="I27" t="s">
        <v>17</v>
      </c>
      <c r="J27" t="s">
        <v>17</v>
      </c>
      <c r="K27" t="s">
        <v>17</v>
      </c>
      <c r="L27" s="4" t="s">
        <v>17</v>
      </c>
    </row>
    <row r="28" spans="1:12" x14ac:dyDescent="0.25">
      <c r="A28" t="s">
        <v>56</v>
      </c>
      <c r="B28" t="s">
        <v>32</v>
      </c>
      <c r="C28" t="s">
        <v>14</v>
      </c>
      <c r="D28">
        <v>0</v>
      </c>
      <c r="E28" t="s">
        <v>27</v>
      </c>
      <c r="F28" t="s">
        <v>16</v>
      </c>
      <c r="G28" t="s">
        <v>17</v>
      </c>
      <c r="H28" t="s">
        <v>17</v>
      </c>
      <c r="I28" t="s">
        <v>17</v>
      </c>
      <c r="J28" t="s">
        <v>17</v>
      </c>
      <c r="K28" t="s">
        <v>17</v>
      </c>
      <c r="L28" s="4" t="s">
        <v>17</v>
      </c>
    </row>
    <row r="29" spans="1:12" x14ac:dyDescent="0.25">
      <c r="A29" t="s">
        <v>57</v>
      </c>
      <c r="B29" t="s">
        <v>32</v>
      </c>
      <c r="C29" t="s">
        <v>14</v>
      </c>
      <c r="D29">
        <v>5</v>
      </c>
      <c r="E29" t="s">
        <v>23</v>
      </c>
      <c r="F29" t="s">
        <v>16</v>
      </c>
      <c r="G29" t="s">
        <v>16</v>
      </c>
      <c r="H29" t="s">
        <v>16</v>
      </c>
      <c r="I29" t="s">
        <v>16</v>
      </c>
      <c r="J29" t="s">
        <v>16</v>
      </c>
      <c r="K29" t="s">
        <v>16</v>
      </c>
      <c r="L29" s="4" t="s">
        <v>16</v>
      </c>
    </row>
    <row r="30" spans="1:12" x14ac:dyDescent="0.25">
      <c r="A30" t="s">
        <v>58</v>
      </c>
      <c r="B30" t="s">
        <v>32</v>
      </c>
      <c r="C30" t="s">
        <v>29</v>
      </c>
      <c r="D30">
        <v>4</v>
      </c>
      <c r="E30" t="s">
        <v>20</v>
      </c>
      <c r="F30" t="s">
        <v>16</v>
      </c>
      <c r="G30" t="s">
        <v>17</v>
      </c>
      <c r="H30" t="s">
        <v>17</v>
      </c>
      <c r="I30" t="s">
        <v>17</v>
      </c>
      <c r="J30" t="s">
        <v>17</v>
      </c>
      <c r="K30" t="s">
        <v>17</v>
      </c>
      <c r="L30" s="4" t="s">
        <v>17</v>
      </c>
    </row>
    <row r="31" spans="1:12" x14ac:dyDescent="0.25">
      <c r="A31" t="s">
        <v>59</v>
      </c>
      <c r="B31" t="s">
        <v>25</v>
      </c>
      <c r="C31" t="s">
        <v>14</v>
      </c>
      <c r="D31">
        <v>0</v>
      </c>
      <c r="E31" t="s">
        <v>23</v>
      </c>
      <c r="F31" t="s">
        <v>16</v>
      </c>
      <c r="G31" t="s">
        <v>16</v>
      </c>
      <c r="H31" t="s">
        <v>16</v>
      </c>
      <c r="I31" t="s">
        <v>17</v>
      </c>
      <c r="J31" t="s">
        <v>17</v>
      </c>
      <c r="K31" t="s">
        <v>17</v>
      </c>
      <c r="L31" s="4" t="s">
        <v>17</v>
      </c>
    </row>
    <row r="32" spans="1:12" x14ac:dyDescent="0.25">
      <c r="A32" t="s">
        <v>60</v>
      </c>
      <c r="B32" t="s">
        <v>13</v>
      </c>
      <c r="C32" t="s">
        <v>19</v>
      </c>
      <c r="D32">
        <v>0</v>
      </c>
      <c r="E32" t="s">
        <v>40</v>
      </c>
      <c r="F32" t="s">
        <v>16</v>
      </c>
      <c r="G32" t="s">
        <v>16</v>
      </c>
      <c r="H32" t="s">
        <v>17</v>
      </c>
      <c r="I32" t="s">
        <v>17</v>
      </c>
      <c r="J32" t="s">
        <v>17</v>
      </c>
      <c r="K32" t="s">
        <v>17</v>
      </c>
      <c r="L32" s="4" t="s">
        <v>17</v>
      </c>
    </row>
    <row r="33" spans="1:12" x14ac:dyDescent="0.25">
      <c r="A33" t="s">
        <v>61</v>
      </c>
      <c r="B33" t="s">
        <v>22</v>
      </c>
      <c r="C33" t="s">
        <v>14</v>
      </c>
      <c r="D33">
        <v>3</v>
      </c>
      <c r="E33" t="s">
        <v>15</v>
      </c>
      <c r="F33" t="s">
        <v>16</v>
      </c>
      <c r="G33" t="s">
        <v>16</v>
      </c>
      <c r="H33" t="s">
        <v>16</v>
      </c>
      <c r="I33" t="s">
        <v>17</v>
      </c>
      <c r="J33" t="s">
        <v>17</v>
      </c>
      <c r="K33" t="s">
        <v>17</v>
      </c>
      <c r="L33" s="4" t="s">
        <v>17</v>
      </c>
    </row>
    <row r="34" spans="1:12" x14ac:dyDescent="0.25">
      <c r="A34" t="s">
        <v>62</v>
      </c>
      <c r="B34" t="s">
        <v>32</v>
      </c>
      <c r="C34" t="s">
        <v>19</v>
      </c>
      <c r="D34">
        <v>4</v>
      </c>
      <c r="E34" t="s">
        <v>40</v>
      </c>
      <c r="F34" t="s">
        <v>16</v>
      </c>
      <c r="G34" t="s">
        <v>17</v>
      </c>
      <c r="H34" t="s">
        <v>17</v>
      </c>
      <c r="I34" t="s">
        <v>17</v>
      </c>
      <c r="J34" t="s">
        <v>17</v>
      </c>
      <c r="K34" t="s">
        <v>17</v>
      </c>
      <c r="L34" s="4" t="s">
        <v>17</v>
      </c>
    </row>
    <row r="35" spans="1:12" x14ac:dyDescent="0.25">
      <c r="A35" t="s">
        <v>63</v>
      </c>
      <c r="B35" t="s">
        <v>25</v>
      </c>
      <c r="C35" t="s">
        <v>19</v>
      </c>
      <c r="D35">
        <v>6</v>
      </c>
      <c r="E35" t="s">
        <v>15</v>
      </c>
      <c r="F35" t="s">
        <v>16</v>
      </c>
      <c r="G35" t="s">
        <v>16</v>
      </c>
      <c r="H35" t="s">
        <v>16</v>
      </c>
      <c r="I35" t="s">
        <v>16</v>
      </c>
      <c r="J35" t="s">
        <v>16</v>
      </c>
      <c r="K35" t="s">
        <v>16</v>
      </c>
      <c r="L35" s="4" t="s">
        <v>17</v>
      </c>
    </row>
    <row r="36" spans="1:12" x14ac:dyDescent="0.25">
      <c r="A36" t="s">
        <v>64</v>
      </c>
      <c r="B36" t="s">
        <v>22</v>
      </c>
      <c r="C36" t="s">
        <v>29</v>
      </c>
      <c r="D36">
        <v>3</v>
      </c>
      <c r="E36" t="s">
        <v>27</v>
      </c>
      <c r="F36" t="s">
        <v>16</v>
      </c>
      <c r="G36" t="s">
        <v>17</v>
      </c>
      <c r="H36" t="s">
        <v>17</v>
      </c>
      <c r="I36" t="s">
        <v>17</v>
      </c>
      <c r="J36" t="s">
        <v>17</v>
      </c>
      <c r="K36" t="s">
        <v>17</v>
      </c>
      <c r="L36" s="4" t="s">
        <v>17</v>
      </c>
    </row>
    <row r="37" spans="1:12" x14ac:dyDescent="0.25">
      <c r="A37" t="s">
        <v>65</v>
      </c>
      <c r="B37" t="s">
        <v>50</v>
      </c>
      <c r="C37" t="s">
        <v>33</v>
      </c>
      <c r="D37">
        <v>5</v>
      </c>
      <c r="E37" t="s">
        <v>30</v>
      </c>
      <c r="F37" t="s">
        <v>16</v>
      </c>
      <c r="G37" t="s">
        <v>16</v>
      </c>
      <c r="H37" t="s">
        <v>17</v>
      </c>
      <c r="I37" t="s">
        <v>17</v>
      </c>
      <c r="J37" t="s">
        <v>17</v>
      </c>
      <c r="K37" t="s">
        <v>17</v>
      </c>
      <c r="L37" s="4" t="s">
        <v>17</v>
      </c>
    </row>
    <row r="38" spans="1:12" x14ac:dyDescent="0.25">
      <c r="A38" t="s">
        <v>66</v>
      </c>
      <c r="B38" t="s">
        <v>32</v>
      </c>
      <c r="C38" t="s">
        <v>33</v>
      </c>
      <c r="D38">
        <v>5</v>
      </c>
      <c r="E38" t="s">
        <v>27</v>
      </c>
      <c r="F38" t="s">
        <v>16</v>
      </c>
      <c r="G38" t="s">
        <v>17</v>
      </c>
      <c r="H38" t="s">
        <v>17</v>
      </c>
      <c r="I38" t="s">
        <v>17</v>
      </c>
      <c r="J38" t="s">
        <v>17</v>
      </c>
      <c r="K38" t="s">
        <v>17</v>
      </c>
      <c r="L38" s="4" t="s">
        <v>17</v>
      </c>
    </row>
    <row r="39" spans="1:12" x14ac:dyDescent="0.25">
      <c r="A39" t="s">
        <v>67</v>
      </c>
      <c r="B39" t="s">
        <v>32</v>
      </c>
      <c r="C39" t="s">
        <v>19</v>
      </c>
      <c r="D39">
        <v>1</v>
      </c>
      <c r="E39" t="s">
        <v>40</v>
      </c>
      <c r="F39" t="s">
        <v>17</v>
      </c>
      <c r="G39" t="s">
        <v>17</v>
      </c>
      <c r="H39" t="s">
        <v>17</v>
      </c>
      <c r="I39" t="s">
        <v>17</v>
      </c>
      <c r="J39" t="s">
        <v>17</v>
      </c>
      <c r="K39" t="s">
        <v>17</v>
      </c>
      <c r="L39" s="4" t="s">
        <v>17</v>
      </c>
    </row>
    <row r="40" spans="1:12" x14ac:dyDescent="0.25">
      <c r="A40" t="s">
        <v>68</v>
      </c>
      <c r="B40" t="s">
        <v>22</v>
      </c>
      <c r="C40" t="s">
        <v>14</v>
      </c>
      <c r="D40">
        <v>4</v>
      </c>
      <c r="E40" t="s">
        <v>40</v>
      </c>
      <c r="F40" t="s">
        <v>16</v>
      </c>
      <c r="G40" t="s">
        <v>16</v>
      </c>
      <c r="H40" t="s">
        <v>16</v>
      </c>
      <c r="I40" t="s">
        <v>17</v>
      </c>
      <c r="J40" t="s">
        <v>17</v>
      </c>
      <c r="K40" t="s">
        <v>17</v>
      </c>
      <c r="L40" s="4" t="s">
        <v>17</v>
      </c>
    </row>
    <row r="41" spans="1:12" x14ac:dyDescent="0.25">
      <c r="A41" t="s">
        <v>69</v>
      </c>
      <c r="B41" t="s">
        <v>22</v>
      </c>
      <c r="C41" t="s">
        <v>33</v>
      </c>
      <c r="D41">
        <v>4</v>
      </c>
      <c r="E41" t="s">
        <v>40</v>
      </c>
      <c r="F41" t="s">
        <v>16</v>
      </c>
      <c r="G41" t="s">
        <v>17</v>
      </c>
      <c r="H41" t="s">
        <v>17</v>
      </c>
      <c r="I41" t="s">
        <v>17</v>
      </c>
      <c r="J41" t="s">
        <v>17</v>
      </c>
      <c r="K41" t="s">
        <v>17</v>
      </c>
      <c r="L41" s="4" t="s">
        <v>17</v>
      </c>
    </row>
    <row r="42" spans="1:12" x14ac:dyDescent="0.25">
      <c r="A42" t="s">
        <v>70</v>
      </c>
      <c r="B42" t="s">
        <v>32</v>
      </c>
      <c r="C42" t="s">
        <v>19</v>
      </c>
      <c r="D42">
        <v>1</v>
      </c>
      <c r="E42" t="s">
        <v>23</v>
      </c>
      <c r="F42" t="s">
        <v>16</v>
      </c>
      <c r="G42" t="s">
        <v>16</v>
      </c>
      <c r="H42" t="s">
        <v>16</v>
      </c>
      <c r="I42" t="s">
        <v>17</v>
      </c>
      <c r="J42" t="s">
        <v>17</v>
      </c>
      <c r="K42" t="s">
        <v>17</v>
      </c>
      <c r="L42" s="4" t="s">
        <v>17</v>
      </c>
    </row>
    <row r="43" spans="1:12" x14ac:dyDescent="0.25">
      <c r="A43" t="s">
        <v>71</v>
      </c>
      <c r="B43" t="s">
        <v>22</v>
      </c>
      <c r="C43" t="s">
        <v>36</v>
      </c>
      <c r="D43">
        <v>6</v>
      </c>
      <c r="E43" t="s">
        <v>40</v>
      </c>
      <c r="F43" t="s">
        <v>16</v>
      </c>
      <c r="G43" t="s">
        <v>17</v>
      </c>
      <c r="H43" t="s">
        <v>17</v>
      </c>
      <c r="I43" t="s">
        <v>17</v>
      </c>
      <c r="J43" t="s">
        <v>17</v>
      </c>
      <c r="K43" t="s">
        <v>17</v>
      </c>
      <c r="L43" s="4" t="s">
        <v>17</v>
      </c>
    </row>
    <row r="44" spans="1:12" x14ac:dyDescent="0.25">
      <c r="A44" t="s">
        <v>72</v>
      </c>
      <c r="B44" t="s">
        <v>32</v>
      </c>
      <c r="C44" t="s">
        <v>14</v>
      </c>
      <c r="D44">
        <v>4</v>
      </c>
      <c r="E44" t="s">
        <v>15</v>
      </c>
      <c r="F44" t="s">
        <v>16</v>
      </c>
      <c r="G44" t="s">
        <v>16</v>
      </c>
      <c r="H44" t="s">
        <v>16</v>
      </c>
      <c r="I44" t="s">
        <v>16</v>
      </c>
      <c r="J44" t="s">
        <v>16</v>
      </c>
      <c r="K44" t="s">
        <v>16</v>
      </c>
      <c r="L44" s="4" t="s">
        <v>16</v>
      </c>
    </row>
    <row r="45" spans="1:12" x14ac:dyDescent="0.25">
      <c r="A45" t="s">
        <v>73</v>
      </c>
      <c r="B45" t="s">
        <v>32</v>
      </c>
      <c r="C45" t="s">
        <v>36</v>
      </c>
      <c r="D45">
        <v>6</v>
      </c>
      <c r="E45" t="s">
        <v>23</v>
      </c>
      <c r="F45" t="s">
        <v>16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s="4" t="s">
        <v>17</v>
      </c>
    </row>
    <row r="46" spans="1:12" x14ac:dyDescent="0.25">
      <c r="A46" t="s">
        <v>74</v>
      </c>
      <c r="B46" t="s">
        <v>32</v>
      </c>
      <c r="C46" t="s">
        <v>19</v>
      </c>
      <c r="D46">
        <v>0</v>
      </c>
      <c r="E46" t="s">
        <v>15</v>
      </c>
      <c r="F46" t="s">
        <v>16</v>
      </c>
      <c r="G46" t="s">
        <v>17</v>
      </c>
      <c r="H46" t="s">
        <v>17</v>
      </c>
      <c r="I46" t="s">
        <v>17</v>
      </c>
      <c r="J46" t="s">
        <v>17</v>
      </c>
      <c r="K46" t="s">
        <v>17</v>
      </c>
      <c r="L46" s="4" t="s">
        <v>17</v>
      </c>
    </row>
    <row r="47" spans="1:12" x14ac:dyDescent="0.25">
      <c r="A47" t="s">
        <v>75</v>
      </c>
      <c r="B47" t="s">
        <v>13</v>
      </c>
      <c r="C47" t="s">
        <v>14</v>
      </c>
      <c r="D47">
        <v>2</v>
      </c>
      <c r="E47" t="s">
        <v>20</v>
      </c>
      <c r="F47" t="s">
        <v>16</v>
      </c>
      <c r="G47" t="s">
        <v>16</v>
      </c>
      <c r="H47" t="s">
        <v>17</v>
      </c>
      <c r="I47" t="s">
        <v>17</v>
      </c>
      <c r="J47" t="s">
        <v>17</v>
      </c>
      <c r="K47" t="s">
        <v>17</v>
      </c>
      <c r="L47" s="4" t="s">
        <v>17</v>
      </c>
    </row>
    <row r="48" spans="1:12" x14ac:dyDescent="0.25">
      <c r="A48" t="s">
        <v>76</v>
      </c>
      <c r="B48" t="s">
        <v>25</v>
      </c>
      <c r="C48" t="s">
        <v>33</v>
      </c>
      <c r="D48">
        <v>2</v>
      </c>
      <c r="E48" t="s">
        <v>40</v>
      </c>
      <c r="F48" t="s">
        <v>16</v>
      </c>
      <c r="G48" t="s">
        <v>16</v>
      </c>
      <c r="H48" t="s">
        <v>16</v>
      </c>
      <c r="I48" t="s">
        <v>16</v>
      </c>
      <c r="J48" t="s">
        <v>16</v>
      </c>
      <c r="K48" t="s">
        <v>16</v>
      </c>
      <c r="L48" s="4" t="s">
        <v>16</v>
      </c>
    </row>
    <row r="49" spans="1:12" x14ac:dyDescent="0.25">
      <c r="A49" t="s">
        <v>77</v>
      </c>
      <c r="B49" t="s">
        <v>13</v>
      </c>
      <c r="C49" t="s">
        <v>33</v>
      </c>
      <c r="D49">
        <v>3</v>
      </c>
      <c r="E49" t="s">
        <v>20</v>
      </c>
      <c r="F49" t="s">
        <v>16</v>
      </c>
      <c r="G49" t="s">
        <v>16</v>
      </c>
      <c r="H49" t="s">
        <v>17</v>
      </c>
      <c r="I49" t="s">
        <v>17</v>
      </c>
      <c r="J49" t="s">
        <v>17</v>
      </c>
      <c r="K49" t="s">
        <v>17</v>
      </c>
      <c r="L49" s="4" t="s">
        <v>17</v>
      </c>
    </row>
    <row r="50" spans="1:12" x14ac:dyDescent="0.25">
      <c r="A50" t="s">
        <v>78</v>
      </c>
      <c r="B50" t="s">
        <v>50</v>
      </c>
      <c r="C50" t="s">
        <v>33</v>
      </c>
      <c r="D50">
        <v>6</v>
      </c>
      <c r="E50" t="s">
        <v>27</v>
      </c>
      <c r="F50" t="s">
        <v>16</v>
      </c>
      <c r="G50" t="s">
        <v>16</v>
      </c>
      <c r="H50" t="s">
        <v>16</v>
      </c>
      <c r="I50" t="s">
        <v>16</v>
      </c>
      <c r="J50" t="s">
        <v>17</v>
      </c>
      <c r="K50" t="s">
        <v>17</v>
      </c>
      <c r="L50" s="4" t="s">
        <v>17</v>
      </c>
    </row>
    <row r="51" spans="1:12" x14ac:dyDescent="0.25">
      <c r="A51" t="s">
        <v>79</v>
      </c>
      <c r="B51" t="s">
        <v>25</v>
      </c>
      <c r="C51" t="s">
        <v>19</v>
      </c>
      <c r="D51">
        <v>2</v>
      </c>
      <c r="E51" t="s">
        <v>15</v>
      </c>
      <c r="F51" t="s">
        <v>16</v>
      </c>
      <c r="G51" t="s">
        <v>17</v>
      </c>
      <c r="H51" t="s">
        <v>17</v>
      </c>
      <c r="I51" t="s">
        <v>17</v>
      </c>
      <c r="J51" t="s">
        <v>17</v>
      </c>
      <c r="K51" t="s">
        <v>17</v>
      </c>
      <c r="L51" s="4" t="s">
        <v>17</v>
      </c>
    </row>
    <row r="52" spans="1:12" x14ac:dyDescent="0.25">
      <c r="A52" t="s">
        <v>80</v>
      </c>
      <c r="B52" t="s">
        <v>32</v>
      </c>
      <c r="C52" t="s">
        <v>33</v>
      </c>
      <c r="D52">
        <v>6</v>
      </c>
      <c r="E52" t="s">
        <v>30</v>
      </c>
      <c r="F52" t="s">
        <v>17</v>
      </c>
      <c r="G52" t="s">
        <v>17</v>
      </c>
      <c r="H52" t="s">
        <v>17</v>
      </c>
      <c r="I52" t="s">
        <v>17</v>
      </c>
      <c r="J52" t="s">
        <v>17</v>
      </c>
      <c r="K52" t="s">
        <v>17</v>
      </c>
      <c r="L52" s="4" t="s">
        <v>17</v>
      </c>
    </row>
    <row r="53" spans="1:12" x14ac:dyDescent="0.25">
      <c r="A53" t="s">
        <v>81</v>
      </c>
      <c r="B53" t="s">
        <v>13</v>
      </c>
      <c r="C53" t="s">
        <v>19</v>
      </c>
      <c r="D53">
        <v>1</v>
      </c>
      <c r="E53" t="s">
        <v>15</v>
      </c>
      <c r="F53" t="s">
        <v>17</v>
      </c>
      <c r="G53" t="s">
        <v>17</v>
      </c>
      <c r="H53" t="s">
        <v>17</v>
      </c>
      <c r="I53" t="s">
        <v>17</v>
      </c>
      <c r="J53" t="s">
        <v>17</v>
      </c>
      <c r="K53" t="s">
        <v>17</v>
      </c>
      <c r="L53" s="4" t="s">
        <v>17</v>
      </c>
    </row>
    <row r="54" spans="1:12" x14ac:dyDescent="0.25">
      <c r="A54" t="s">
        <v>82</v>
      </c>
      <c r="B54" t="s">
        <v>25</v>
      </c>
      <c r="C54" t="s">
        <v>19</v>
      </c>
      <c r="D54">
        <v>0</v>
      </c>
      <c r="E54" t="s">
        <v>15</v>
      </c>
      <c r="F54" t="s">
        <v>17</v>
      </c>
      <c r="G54" t="s">
        <v>17</v>
      </c>
      <c r="H54" t="s">
        <v>17</v>
      </c>
      <c r="I54" t="s">
        <v>17</v>
      </c>
      <c r="J54" t="s">
        <v>17</v>
      </c>
      <c r="K54" t="s">
        <v>17</v>
      </c>
      <c r="L54" s="4" t="s">
        <v>17</v>
      </c>
    </row>
    <row r="55" spans="1:12" x14ac:dyDescent="0.25">
      <c r="A55" t="s">
        <v>83</v>
      </c>
      <c r="B55" t="s">
        <v>22</v>
      </c>
      <c r="C55" t="s">
        <v>19</v>
      </c>
      <c r="D55">
        <v>6</v>
      </c>
      <c r="E55" t="s">
        <v>23</v>
      </c>
      <c r="F55" t="s">
        <v>17</v>
      </c>
      <c r="G55" t="s">
        <v>17</v>
      </c>
      <c r="H55" t="s">
        <v>17</v>
      </c>
      <c r="I55" t="s">
        <v>17</v>
      </c>
      <c r="J55" t="s">
        <v>17</v>
      </c>
      <c r="K55" t="s">
        <v>17</v>
      </c>
      <c r="L55" s="4" t="s">
        <v>17</v>
      </c>
    </row>
    <row r="56" spans="1:12" x14ac:dyDescent="0.25">
      <c r="A56" t="s">
        <v>84</v>
      </c>
      <c r="B56" t="s">
        <v>25</v>
      </c>
      <c r="C56" t="s">
        <v>36</v>
      </c>
      <c r="D56">
        <v>6</v>
      </c>
      <c r="E56" t="s">
        <v>23</v>
      </c>
      <c r="F56" t="s">
        <v>16</v>
      </c>
      <c r="G56" t="s">
        <v>17</v>
      </c>
      <c r="H56" t="s">
        <v>17</v>
      </c>
      <c r="I56" t="s">
        <v>17</v>
      </c>
      <c r="J56" t="s">
        <v>17</v>
      </c>
      <c r="K56" t="s">
        <v>17</v>
      </c>
      <c r="L56" s="4" t="s">
        <v>17</v>
      </c>
    </row>
    <row r="57" spans="1:12" x14ac:dyDescent="0.25">
      <c r="A57" t="s">
        <v>85</v>
      </c>
      <c r="B57" t="s">
        <v>25</v>
      </c>
      <c r="C57" t="s">
        <v>14</v>
      </c>
      <c r="D57">
        <v>6</v>
      </c>
      <c r="E57" t="s">
        <v>30</v>
      </c>
      <c r="F57" t="s">
        <v>16</v>
      </c>
      <c r="G57" t="s">
        <v>17</v>
      </c>
      <c r="H57" t="s">
        <v>17</v>
      </c>
      <c r="I57" t="s">
        <v>17</v>
      </c>
      <c r="J57" t="s">
        <v>17</v>
      </c>
      <c r="K57" t="s">
        <v>17</v>
      </c>
      <c r="L57" s="4" t="s">
        <v>17</v>
      </c>
    </row>
    <row r="58" spans="1:12" x14ac:dyDescent="0.25">
      <c r="A58" t="s">
        <v>86</v>
      </c>
      <c r="B58" t="s">
        <v>25</v>
      </c>
      <c r="C58" t="s">
        <v>14</v>
      </c>
      <c r="D58">
        <v>5</v>
      </c>
      <c r="E58" t="s">
        <v>15</v>
      </c>
      <c r="F58" t="s">
        <v>16</v>
      </c>
      <c r="G58" t="s">
        <v>16</v>
      </c>
      <c r="H58" t="s">
        <v>16</v>
      </c>
      <c r="I58" t="s">
        <v>17</v>
      </c>
      <c r="J58" t="s">
        <v>17</v>
      </c>
      <c r="K58" t="s">
        <v>17</v>
      </c>
      <c r="L58" s="4" t="s">
        <v>17</v>
      </c>
    </row>
    <row r="59" spans="1:12" x14ac:dyDescent="0.25">
      <c r="A59" t="s">
        <v>87</v>
      </c>
      <c r="B59" t="s">
        <v>32</v>
      </c>
      <c r="C59" t="s">
        <v>33</v>
      </c>
      <c r="D59">
        <v>5</v>
      </c>
      <c r="E59" t="s">
        <v>20</v>
      </c>
      <c r="F59" t="s">
        <v>16</v>
      </c>
      <c r="G59" t="s">
        <v>16</v>
      </c>
      <c r="H59" t="s">
        <v>17</v>
      </c>
      <c r="I59" t="s">
        <v>17</v>
      </c>
      <c r="J59" t="s">
        <v>17</v>
      </c>
      <c r="K59" t="s">
        <v>17</v>
      </c>
      <c r="L59" s="4" t="s">
        <v>17</v>
      </c>
    </row>
    <row r="60" spans="1:12" x14ac:dyDescent="0.25">
      <c r="A60" t="s">
        <v>88</v>
      </c>
      <c r="B60" t="s">
        <v>22</v>
      </c>
      <c r="C60" t="s">
        <v>33</v>
      </c>
      <c r="D60">
        <v>2</v>
      </c>
      <c r="E60" t="s">
        <v>40</v>
      </c>
      <c r="F60" t="s">
        <v>16</v>
      </c>
      <c r="G60" t="s">
        <v>16</v>
      </c>
      <c r="H60" t="s">
        <v>17</v>
      </c>
      <c r="I60" t="s">
        <v>17</v>
      </c>
      <c r="J60" t="s">
        <v>17</v>
      </c>
      <c r="K60" t="s">
        <v>17</v>
      </c>
      <c r="L60" s="4" t="s">
        <v>17</v>
      </c>
    </row>
    <row r="61" spans="1:12" x14ac:dyDescent="0.25">
      <c r="A61" t="s">
        <v>89</v>
      </c>
      <c r="B61" t="s">
        <v>22</v>
      </c>
      <c r="C61" t="s">
        <v>33</v>
      </c>
      <c r="D61">
        <v>4</v>
      </c>
      <c r="E61" t="s">
        <v>40</v>
      </c>
      <c r="F61" t="s">
        <v>16</v>
      </c>
      <c r="G61" t="s">
        <v>17</v>
      </c>
      <c r="H61" t="s">
        <v>17</v>
      </c>
      <c r="I61" t="s">
        <v>17</v>
      </c>
      <c r="J61" t="s">
        <v>17</v>
      </c>
      <c r="K61" t="s">
        <v>17</v>
      </c>
      <c r="L61" s="4" t="s">
        <v>17</v>
      </c>
    </row>
    <row r="62" spans="1:12" x14ac:dyDescent="0.25">
      <c r="A62" t="s">
        <v>90</v>
      </c>
      <c r="B62" t="s">
        <v>22</v>
      </c>
      <c r="C62" t="s">
        <v>29</v>
      </c>
      <c r="D62">
        <v>0</v>
      </c>
      <c r="E62" t="s">
        <v>20</v>
      </c>
      <c r="F62" t="s">
        <v>17</v>
      </c>
      <c r="G62" t="s">
        <v>17</v>
      </c>
      <c r="H62" t="s">
        <v>17</v>
      </c>
      <c r="I62" t="s">
        <v>17</v>
      </c>
      <c r="J62" t="s">
        <v>17</v>
      </c>
      <c r="K62" t="s">
        <v>17</v>
      </c>
      <c r="L62" s="4" t="s">
        <v>17</v>
      </c>
    </row>
    <row r="63" spans="1:12" x14ac:dyDescent="0.25">
      <c r="A63" t="s">
        <v>91</v>
      </c>
      <c r="B63" t="s">
        <v>32</v>
      </c>
      <c r="C63" t="s">
        <v>29</v>
      </c>
      <c r="D63">
        <v>5</v>
      </c>
      <c r="E63" t="s">
        <v>23</v>
      </c>
      <c r="F63" t="s">
        <v>16</v>
      </c>
      <c r="G63" t="s">
        <v>16</v>
      </c>
      <c r="H63" t="s">
        <v>16</v>
      </c>
      <c r="I63" t="s">
        <v>17</v>
      </c>
      <c r="J63" t="s">
        <v>17</v>
      </c>
      <c r="K63" t="s">
        <v>17</v>
      </c>
      <c r="L63" s="4" t="s">
        <v>17</v>
      </c>
    </row>
    <row r="64" spans="1:12" x14ac:dyDescent="0.25">
      <c r="A64" t="s">
        <v>92</v>
      </c>
      <c r="B64" t="s">
        <v>22</v>
      </c>
      <c r="C64" t="s">
        <v>36</v>
      </c>
      <c r="D64">
        <v>6</v>
      </c>
      <c r="E64" t="s">
        <v>40</v>
      </c>
      <c r="F64" t="s">
        <v>16</v>
      </c>
      <c r="G64" t="s">
        <v>16</v>
      </c>
      <c r="H64" t="s">
        <v>16</v>
      </c>
      <c r="I64" t="s">
        <v>16</v>
      </c>
      <c r="J64" t="s">
        <v>16</v>
      </c>
      <c r="K64" t="s">
        <v>16</v>
      </c>
      <c r="L64" s="4" t="s">
        <v>16</v>
      </c>
    </row>
    <row r="65" spans="1:12" x14ac:dyDescent="0.25">
      <c r="A65" t="s">
        <v>93</v>
      </c>
      <c r="B65" t="s">
        <v>32</v>
      </c>
      <c r="C65" t="s">
        <v>19</v>
      </c>
      <c r="D65">
        <v>5</v>
      </c>
      <c r="E65" t="s">
        <v>23</v>
      </c>
      <c r="F65" t="s">
        <v>17</v>
      </c>
      <c r="G65" t="s">
        <v>17</v>
      </c>
      <c r="H65" t="s">
        <v>17</v>
      </c>
      <c r="I65" t="s">
        <v>17</v>
      </c>
      <c r="J65" t="s">
        <v>17</v>
      </c>
      <c r="K65" t="s">
        <v>17</v>
      </c>
      <c r="L65" s="4" t="s">
        <v>17</v>
      </c>
    </row>
    <row r="66" spans="1:12" x14ac:dyDescent="0.25">
      <c r="A66" t="s">
        <v>94</v>
      </c>
      <c r="B66" t="s">
        <v>13</v>
      </c>
      <c r="C66" t="s">
        <v>36</v>
      </c>
      <c r="D66">
        <v>4</v>
      </c>
      <c r="E66" t="s">
        <v>40</v>
      </c>
      <c r="F66" t="s">
        <v>16</v>
      </c>
      <c r="G66" t="s">
        <v>16</v>
      </c>
      <c r="H66" t="s">
        <v>17</v>
      </c>
      <c r="I66" t="s">
        <v>17</v>
      </c>
      <c r="J66" t="s">
        <v>17</v>
      </c>
      <c r="K66" t="s">
        <v>17</v>
      </c>
      <c r="L66" s="4" t="s">
        <v>17</v>
      </c>
    </row>
    <row r="67" spans="1:12" x14ac:dyDescent="0.25">
      <c r="A67" t="s">
        <v>95</v>
      </c>
      <c r="B67" t="s">
        <v>13</v>
      </c>
      <c r="C67" t="s">
        <v>36</v>
      </c>
      <c r="D67">
        <v>3</v>
      </c>
      <c r="E67" t="s">
        <v>30</v>
      </c>
      <c r="F67" t="s">
        <v>16</v>
      </c>
      <c r="G67" t="s">
        <v>16</v>
      </c>
      <c r="H67" t="s">
        <v>17</v>
      </c>
      <c r="I67" t="s">
        <v>17</v>
      </c>
      <c r="J67" t="s">
        <v>17</v>
      </c>
      <c r="K67" t="s">
        <v>17</v>
      </c>
      <c r="L67" s="4" t="s">
        <v>17</v>
      </c>
    </row>
    <row r="68" spans="1:12" x14ac:dyDescent="0.25">
      <c r="A68" t="s">
        <v>96</v>
      </c>
      <c r="B68" t="s">
        <v>50</v>
      </c>
      <c r="C68" t="s">
        <v>29</v>
      </c>
      <c r="D68">
        <v>5</v>
      </c>
      <c r="E68" t="s">
        <v>40</v>
      </c>
      <c r="F68" t="s">
        <v>16</v>
      </c>
      <c r="G68" t="s">
        <v>17</v>
      </c>
      <c r="H68" t="s">
        <v>17</v>
      </c>
      <c r="I68" t="s">
        <v>17</v>
      </c>
      <c r="J68" t="s">
        <v>17</v>
      </c>
      <c r="K68" t="s">
        <v>17</v>
      </c>
      <c r="L68" s="4" t="s">
        <v>17</v>
      </c>
    </row>
    <row r="69" spans="1:12" x14ac:dyDescent="0.25">
      <c r="A69" t="s">
        <v>97</v>
      </c>
      <c r="B69" t="s">
        <v>13</v>
      </c>
      <c r="C69" t="s">
        <v>14</v>
      </c>
      <c r="D69">
        <v>6</v>
      </c>
      <c r="E69" t="s">
        <v>15</v>
      </c>
      <c r="F69" t="s">
        <v>16</v>
      </c>
      <c r="G69" t="s">
        <v>16</v>
      </c>
      <c r="H69" t="s">
        <v>16</v>
      </c>
      <c r="I69" t="s">
        <v>16</v>
      </c>
      <c r="J69" t="s">
        <v>16</v>
      </c>
      <c r="K69" t="s">
        <v>16</v>
      </c>
      <c r="L69" s="4" t="s">
        <v>16</v>
      </c>
    </row>
    <row r="70" spans="1:12" x14ac:dyDescent="0.25">
      <c r="A70" t="s">
        <v>98</v>
      </c>
      <c r="B70" t="s">
        <v>22</v>
      </c>
      <c r="C70" t="s">
        <v>36</v>
      </c>
      <c r="D70">
        <v>5</v>
      </c>
      <c r="E70" t="s">
        <v>20</v>
      </c>
      <c r="F70" t="s">
        <v>16</v>
      </c>
      <c r="G70" t="s">
        <v>17</v>
      </c>
      <c r="H70" t="s">
        <v>17</v>
      </c>
      <c r="I70" t="s">
        <v>17</v>
      </c>
      <c r="J70" t="s">
        <v>17</v>
      </c>
      <c r="K70" t="s">
        <v>17</v>
      </c>
      <c r="L70" s="4" t="s">
        <v>17</v>
      </c>
    </row>
    <row r="71" spans="1:12" x14ac:dyDescent="0.25">
      <c r="A71" t="s">
        <v>99</v>
      </c>
      <c r="B71" t="s">
        <v>32</v>
      </c>
      <c r="C71" t="s">
        <v>14</v>
      </c>
      <c r="D71">
        <v>5</v>
      </c>
      <c r="E71" t="s">
        <v>23</v>
      </c>
      <c r="F71" t="s">
        <v>16</v>
      </c>
      <c r="G71" t="s">
        <v>17</v>
      </c>
      <c r="H71" t="s">
        <v>17</v>
      </c>
      <c r="I71" t="s">
        <v>17</v>
      </c>
      <c r="J71" t="s">
        <v>17</v>
      </c>
      <c r="K71" t="s">
        <v>17</v>
      </c>
      <c r="L71" s="4" t="s">
        <v>17</v>
      </c>
    </row>
    <row r="72" spans="1:12" x14ac:dyDescent="0.25">
      <c r="A72" t="s">
        <v>100</v>
      </c>
      <c r="B72" t="s">
        <v>25</v>
      </c>
      <c r="C72" t="s">
        <v>14</v>
      </c>
      <c r="D72">
        <v>3</v>
      </c>
      <c r="E72" t="s">
        <v>15</v>
      </c>
      <c r="F72" t="s">
        <v>16</v>
      </c>
      <c r="G72" t="s">
        <v>17</v>
      </c>
      <c r="H72" t="s">
        <v>17</v>
      </c>
      <c r="I72" t="s">
        <v>17</v>
      </c>
      <c r="J72" t="s">
        <v>17</v>
      </c>
      <c r="K72" t="s">
        <v>17</v>
      </c>
      <c r="L72" s="4" t="s">
        <v>17</v>
      </c>
    </row>
    <row r="73" spans="1:12" x14ac:dyDescent="0.25">
      <c r="A73" t="s">
        <v>101</v>
      </c>
      <c r="B73" t="s">
        <v>32</v>
      </c>
      <c r="C73" t="s">
        <v>14</v>
      </c>
      <c r="D73">
        <v>1</v>
      </c>
      <c r="E73" t="s">
        <v>40</v>
      </c>
      <c r="F73" t="s">
        <v>16</v>
      </c>
      <c r="G73" t="s">
        <v>17</v>
      </c>
      <c r="H73" t="s">
        <v>17</v>
      </c>
      <c r="I73" t="s">
        <v>17</v>
      </c>
      <c r="J73" t="s">
        <v>17</v>
      </c>
      <c r="K73" t="s">
        <v>17</v>
      </c>
      <c r="L73" s="4" t="s">
        <v>17</v>
      </c>
    </row>
    <row r="74" spans="1:12" x14ac:dyDescent="0.25">
      <c r="A74" t="s">
        <v>102</v>
      </c>
      <c r="B74" t="s">
        <v>13</v>
      </c>
      <c r="C74" t="s">
        <v>19</v>
      </c>
      <c r="D74">
        <v>4</v>
      </c>
      <c r="E74" t="s">
        <v>27</v>
      </c>
      <c r="F74" t="s">
        <v>17</v>
      </c>
      <c r="G74" t="s">
        <v>17</v>
      </c>
      <c r="H74" t="s">
        <v>17</v>
      </c>
      <c r="I74" t="s">
        <v>17</v>
      </c>
      <c r="J74" t="s">
        <v>17</v>
      </c>
      <c r="K74" t="s">
        <v>17</v>
      </c>
      <c r="L74" s="4" t="s">
        <v>17</v>
      </c>
    </row>
    <row r="75" spans="1:12" x14ac:dyDescent="0.25">
      <c r="A75" t="s">
        <v>103</v>
      </c>
      <c r="B75" t="s">
        <v>25</v>
      </c>
      <c r="C75" t="s">
        <v>33</v>
      </c>
      <c r="D75">
        <v>5</v>
      </c>
      <c r="E75" t="s">
        <v>20</v>
      </c>
      <c r="F75" t="s">
        <v>16</v>
      </c>
      <c r="G75" t="s">
        <v>17</v>
      </c>
      <c r="H75" t="s">
        <v>17</v>
      </c>
      <c r="I75" t="s">
        <v>17</v>
      </c>
      <c r="J75" t="s">
        <v>17</v>
      </c>
      <c r="K75" t="s">
        <v>17</v>
      </c>
      <c r="L75" s="4" t="s">
        <v>17</v>
      </c>
    </row>
    <row r="76" spans="1:12" x14ac:dyDescent="0.25">
      <c r="A76" t="s">
        <v>104</v>
      </c>
      <c r="B76" t="s">
        <v>32</v>
      </c>
      <c r="C76" t="s">
        <v>14</v>
      </c>
      <c r="D76">
        <v>6</v>
      </c>
      <c r="E76" t="s">
        <v>30</v>
      </c>
      <c r="F76" t="s">
        <v>16</v>
      </c>
      <c r="G76" t="s">
        <v>17</v>
      </c>
      <c r="H76" t="s">
        <v>17</v>
      </c>
      <c r="I76" t="s">
        <v>17</v>
      </c>
      <c r="J76" t="s">
        <v>17</v>
      </c>
      <c r="K76" t="s">
        <v>17</v>
      </c>
      <c r="L76" s="4" t="s">
        <v>17</v>
      </c>
    </row>
    <row r="77" spans="1:12" x14ac:dyDescent="0.25">
      <c r="A77" t="s">
        <v>105</v>
      </c>
      <c r="B77" t="s">
        <v>25</v>
      </c>
      <c r="C77" t="s">
        <v>36</v>
      </c>
      <c r="D77">
        <v>6</v>
      </c>
      <c r="E77" t="s">
        <v>20</v>
      </c>
      <c r="F77" t="s">
        <v>16</v>
      </c>
      <c r="G77" t="s">
        <v>16</v>
      </c>
      <c r="H77" t="s">
        <v>16</v>
      </c>
      <c r="I77" t="s">
        <v>17</v>
      </c>
      <c r="J77" t="s">
        <v>17</v>
      </c>
      <c r="K77" t="s">
        <v>17</v>
      </c>
      <c r="L77" s="4" t="s">
        <v>17</v>
      </c>
    </row>
    <row r="78" spans="1:12" x14ac:dyDescent="0.25">
      <c r="A78" t="s">
        <v>106</v>
      </c>
      <c r="B78" t="s">
        <v>22</v>
      </c>
      <c r="C78" t="s">
        <v>36</v>
      </c>
      <c r="D78">
        <v>4</v>
      </c>
      <c r="E78" t="s">
        <v>40</v>
      </c>
      <c r="F78" t="s">
        <v>16</v>
      </c>
      <c r="G78" t="s">
        <v>16</v>
      </c>
      <c r="H78" t="s">
        <v>17</v>
      </c>
      <c r="I78" t="s">
        <v>17</v>
      </c>
      <c r="J78" t="s">
        <v>17</v>
      </c>
      <c r="K78" t="s">
        <v>17</v>
      </c>
      <c r="L78" s="4" t="s">
        <v>17</v>
      </c>
    </row>
    <row r="79" spans="1:12" x14ac:dyDescent="0.25">
      <c r="A79" t="s">
        <v>107</v>
      </c>
      <c r="B79" t="s">
        <v>13</v>
      </c>
      <c r="C79" t="s">
        <v>14</v>
      </c>
      <c r="D79">
        <v>3</v>
      </c>
      <c r="E79" t="s">
        <v>27</v>
      </c>
      <c r="F79" t="s">
        <v>16</v>
      </c>
      <c r="G79" t="s">
        <v>16</v>
      </c>
      <c r="H79" t="s">
        <v>16</v>
      </c>
      <c r="I79" t="s">
        <v>16</v>
      </c>
      <c r="J79" t="s">
        <v>17</v>
      </c>
      <c r="K79" t="s">
        <v>17</v>
      </c>
      <c r="L79" s="4" t="s">
        <v>17</v>
      </c>
    </row>
    <row r="80" spans="1:12" x14ac:dyDescent="0.25">
      <c r="A80" t="s">
        <v>108</v>
      </c>
      <c r="B80" t="s">
        <v>32</v>
      </c>
      <c r="C80" t="s">
        <v>29</v>
      </c>
      <c r="D80">
        <v>6</v>
      </c>
      <c r="E80" t="s">
        <v>20</v>
      </c>
      <c r="F80" t="s">
        <v>16</v>
      </c>
      <c r="G80" t="s">
        <v>16</v>
      </c>
      <c r="H80" t="s">
        <v>16</v>
      </c>
      <c r="I80" t="s">
        <v>17</v>
      </c>
      <c r="J80" t="s">
        <v>17</v>
      </c>
      <c r="K80" t="s">
        <v>17</v>
      </c>
      <c r="L80" s="4" t="s">
        <v>17</v>
      </c>
    </row>
    <row r="81" spans="1:12" x14ac:dyDescent="0.25">
      <c r="A81" t="s">
        <v>109</v>
      </c>
      <c r="B81" t="s">
        <v>25</v>
      </c>
      <c r="C81" t="s">
        <v>19</v>
      </c>
      <c r="D81">
        <v>3</v>
      </c>
      <c r="E81" t="s">
        <v>20</v>
      </c>
      <c r="F81" t="s">
        <v>17</v>
      </c>
      <c r="G81" t="s">
        <v>17</v>
      </c>
      <c r="H81" t="s">
        <v>17</v>
      </c>
      <c r="I81" t="s">
        <v>17</v>
      </c>
      <c r="J81" t="s">
        <v>17</v>
      </c>
      <c r="K81" t="s">
        <v>17</v>
      </c>
      <c r="L81" s="4" t="s">
        <v>17</v>
      </c>
    </row>
    <row r="82" spans="1:12" x14ac:dyDescent="0.25">
      <c r="A82" t="s">
        <v>110</v>
      </c>
      <c r="B82" t="s">
        <v>32</v>
      </c>
      <c r="C82" t="s">
        <v>33</v>
      </c>
      <c r="D82">
        <v>1</v>
      </c>
      <c r="E82" t="s">
        <v>30</v>
      </c>
      <c r="F82" t="s">
        <v>16</v>
      </c>
      <c r="G82" t="s">
        <v>16</v>
      </c>
      <c r="H82" t="s">
        <v>16</v>
      </c>
      <c r="I82" t="s">
        <v>16</v>
      </c>
      <c r="J82" t="s">
        <v>16</v>
      </c>
      <c r="K82" t="s">
        <v>16</v>
      </c>
      <c r="L82" s="4" t="s">
        <v>16</v>
      </c>
    </row>
    <row r="83" spans="1:12" x14ac:dyDescent="0.25">
      <c r="A83" t="s">
        <v>111</v>
      </c>
      <c r="B83" t="s">
        <v>32</v>
      </c>
      <c r="C83" t="s">
        <v>14</v>
      </c>
      <c r="D83">
        <v>4</v>
      </c>
      <c r="E83" t="s">
        <v>20</v>
      </c>
      <c r="F83" t="s">
        <v>16</v>
      </c>
      <c r="G83" t="s">
        <v>16</v>
      </c>
      <c r="H83" t="s">
        <v>16</v>
      </c>
      <c r="I83" t="s">
        <v>16</v>
      </c>
      <c r="J83" t="s">
        <v>16</v>
      </c>
      <c r="K83" t="s">
        <v>16</v>
      </c>
      <c r="L83" s="4" t="s">
        <v>16</v>
      </c>
    </row>
    <row r="84" spans="1:12" x14ac:dyDescent="0.25">
      <c r="A84" t="s">
        <v>112</v>
      </c>
      <c r="B84" t="s">
        <v>22</v>
      </c>
      <c r="C84" t="s">
        <v>36</v>
      </c>
      <c r="D84">
        <v>1</v>
      </c>
      <c r="E84" t="s">
        <v>30</v>
      </c>
      <c r="F84" t="s">
        <v>16</v>
      </c>
      <c r="G84" t="s">
        <v>17</v>
      </c>
      <c r="H84" t="s">
        <v>17</v>
      </c>
      <c r="I84" t="s">
        <v>17</v>
      </c>
      <c r="J84" t="s">
        <v>17</v>
      </c>
      <c r="K84" t="s">
        <v>17</v>
      </c>
      <c r="L84" s="4" t="s">
        <v>17</v>
      </c>
    </row>
    <row r="85" spans="1:12" x14ac:dyDescent="0.25">
      <c r="A85" t="s">
        <v>113</v>
      </c>
      <c r="B85" t="s">
        <v>32</v>
      </c>
      <c r="C85" t="s">
        <v>29</v>
      </c>
      <c r="D85">
        <v>6</v>
      </c>
      <c r="E85" t="s">
        <v>30</v>
      </c>
      <c r="F85" t="s">
        <v>16</v>
      </c>
      <c r="G85" t="s">
        <v>16</v>
      </c>
      <c r="H85" t="s">
        <v>16</v>
      </c>
      <c r="I85" t="s">
        <v>17</v>
      </c>
      <c r="J85" t="s">
        <v>17</v>
      </c>
      <c r="K85" t="s">
        <v>17</v>
      </c>
      <c r="L85" s="4" t="s">
        <v>17</v>
      </c>
    </row>
    <row r="86" spans="1:12" x14ac:dyDescent="0.25">
      <c r="A86" t="s">
        <v>114</v>
      </c>
      <c r="B86" t="s">
        <v>50</v>
      </c>
      <c r="C86" t="s">
        <v>36</v>
      </c>
      <c r="D86">
        <v>5</v>
      </c>
      <c r="E86" t="s">
        <v>40</v>
      </c>
      <c r="F86" t="s">
        <v>17</v>
      </c>
      <c r="G86" t="s">
        <v>17</v>
      </c>
      <c r="H86" t="s">
        <v>17</v>
      </c>
      <c r="I86" t="s">
        <v>17</v>
      </c>
      <c r="J86" t="s">
        <v>17</v>
      </c>
      <c r="K86" t="s">
        <v>17</v>
      </c>
      <c r="L86" s="4" t="s">
        <v>17</v>
      </c>
    </row>
    <row r="87" spans="1:12" x14ac:dyDescent="0.25">
      <c r="A87" t="s">
        <v>115</v>
      </c>
      <c r="B87" t="s">
        <v>13</v>
      </c>
      <c r="C87" t="s">
        <v>29</v>
      </c>
      <c r="D87">
        <v>1</v>
      </c>
      <c r="E87" t="s">
        <v>15</v>
      </c>
      <c r="F87" t="s">
        <v>17</v>
      </c>
      <c r="G87" t="s">
        <v>17</v>
      </c>
      <c r="H87" t="s">
        <v>17</v>
      </c>
      <c r="I87" t="s">
        <v>17</v>
      </c>
      <c r="J87" t="s">
        <v>17</v>
      </c>
      <c r="K87" t="s">
        <v>17</v>
      </c>
      <c r="L87" s="4" t="s">
        <v>17</v>
      </c>
    </row>
    <row r="88" spans="1:12" x14ac:dyDescent="0.25">
      <c r="A88" t="s">
        <v>116</v>
      </c>
      <c r="B88" t="s">
        <v>13</v>
      </c>
      <c r="C88" t="s">
        <v>14</v>
      </c>
      <c r="D88">
        <v>3</v>
      </c>
      <c r="E88" t="s">
        <v>23</v>
      </c>
      <c r="F88" t="s">
        <v>16</v>
      </c>
      <c r="G88" t="s">
        <v>17</v>
      </c>
      <c r="H88" t="s">
        <v>17</v>
      </c>
      <c r="I88" t="s">
        <v>17</v>
      </c>
      <c r="J88" t="s">
        <v>17</v>
      </c>
      <c r="K88" t="s">
        <v>17</v>
      </c>
      <c r="L88" s="4" t="s">
        <v>17</v>
      </c>
    </row>
    <row r="89" spans="1:12" x14ac:dyDescent="0.25">
      <c r="A89" t="s">
        <v>117</v>
      </c>
      <c r="B89" t="s">
        <v>32</v>
      </c>
      <c r="C89" t="s">
        <v>36</v>
      </c>
      <c r="D89">
        <v>2</v>
      </c>
      <c r="E89" t="s">
        <v>15</v>
      </c>
      <c r="F89" t="s">
        <v>16</v>
      </c>
      <c r="G89" t="s">
        <v>17</v>
      </c>
      <c r="H89" t="s">
        <v>17</v>
      </c>
      <c r="I89" t="s">
        <v>17</v>
      </c>
      <c r="J89" t="s">
        <v>17</v>
      </c>
      <c r="K89" t="s">
        <v>17</v>
      </c>
      <c r="L89" s="4" t="s">
        <v>17</v>
      </c>
    </row>
    <row r="90" spans="1:12" x14ac:dyDescent="0.25">
      <c r="A90" t="s">
        <v>118</v>
      </c>
      <c r="B90" t="s">
        <v>13</v>
      </c>
      <c r="C90" t="s">
        <v>29</v>
      </c>
      <c r="D90">
        <v>1</v>
      </c>
      <c r="E90" t="s">
        <v>27</v>
      </c>
      <c r="F90" t="s">
        <v>16</v>
      </c>
      <c r="G90" t="s">
        <v>16</v>
      </c>
      <c r="H90" t="s">
        <v>16</v>
      </c>
      <c r="I90" t="s">
        <v>17</v>
      </c>
      <c r="J90" t="s">
        <v>17</v>
      </c>
      <c r="K90" t="s">
        <v>17</v>
      </c>
      <c r="L90" s="4" t="s">
        <v>17</v>
      </c>
    </row>
    <row r="91" spans="1:12" x14ac:dyDescent="0.25">
      <c r="A91" t="s">
        <v>119</v>
      </c>
      <c r="B91" t="s">
        <v>50</v>
      </c>
      <c r="C91" t="s">
        <v>36</v>
      </c>
      <c r="D91">
        <v>5</v>
      </c>
      <c r="E91" t="s">
        <v>15</v>
      </c>
      <c r="F91" t="s">
        <v>16</v>
      </c>
      <c r="G91" t="s">
        <v>17</v>
      </c>
      <c r="H91" t="s">
        <v>17</v>
      </c>
      <c r="I91" t="s">
        <v>17</v>
      </c>
      <c r="J91" t="s">
        <v>17</v>
      </c>
      <c r="K91" t="s">
        <v>17</v>
      </c>
      <c r="L91" s="4" t="s">
        <v>17</v>
      </c>
    </row>
    <row r="92" spans="1:12" x14ac:dyDescent="0.25">
      <c r="A92" t="s">
        <v>120</v>
      </c>
      <c r="B92" t="s">
        <v>13</v>
      </c>
      <c r="C92" t="s">
        <v>14</v>
      </c>
      <c r="D92">
        <v>6</v>
      </c>
      <c r="E92" t="s">
        <v>27</v>
      </c>
      <c r="F92" t="s">
        <v>17</v>
      </c>
      <c r="G92" t="s">
        <v>17</v>
      </c>
      <c r="H92" t="s">
        <v>17</v>
      </c>
      <c r="I92" t="s">
        <v>17</v>
      </c>
      <c r="J92" t="s">
        <v>17</v>
      </c>
      <c r="K92" t="s">
        <v>17</v>
      </c>
      <c r="L92" s="4" t="s">
        <v>17</v>
      </c>
    </row>
    <row r="93" spans="1:12" x14ac:dyDescent="0.25">
      <c r="A93" t="s">
        <v>121</v>
      </c>
      <c r="B93" t="s">
        <v>13</v>
      </c>
      <c r="C93" t="s">
        <v>14</v>
      </c>
      <c r="D93">
        <v>4</v>
      </c>
      <c r="E93" t="s">
        <v>40</v>
      </c>
      <c r="F93" t="s">
        <v>16</v>
      </c>
      <c r="G93" t="s">
        <v>16</v>
      </c>
      <c r="H93" t="s">
        <v>16</v>
      </c>
      <c r="I93" t="s">
        <v>17</v>
      </c>
      <c r="J93" t="s">
        <v>17</v>
      </c>
      <c r="K93" t="s">
        <v>17</v>
      </c>
      <c r="L93" s="4" t="s">
        <v>17</v>
      </c>
    </row>
    <row r="94" spans="1:12" x14ac:dyDescent="0.25">
      <c r="A94" t="s">
        <v>122</v>
      </c>
      <c r="B94" t="s">
        <v>22</v>
      </c>
      <c r="C94" t="s">
        <v>29</v>
      </c>
      <c r="D94">
        <v>6</v>
      </c>
      <c r="E94" t="s">
        <v>30</v>
      </c>
      <c r="F94" t="s">
        <v>16</v>
      </c>
      <c r="G94" t="s">
        <v>17</v>
      </c>
      <c r="H94" t="s">
        <v>17</v>
      </c>
      <c r="I94" t="s">
        <v>17</v>
      </c>
      <c r="J94" t="s">
        <v>17</v>
      </c>
      <c r="K94" t="s">
        <v>17</v>
      </c>
      <c r="L94" s="4" t="s">
        <v>17</v>
      </c>
    </row>
    <row r="95" spans="1:12" x14ac:dyDescent="0.25">
      <c r="A95" t="s">
        <v>123</v>
      </c>
      <c r="B95" t="s">
        <v>13</v>
      </c>
      <c r="C95" t="s">
        <v>29</v>
      </c>
      <c r="D95">
        <v>5</v>
      </c>
      <c r="E95" t="s">
        <v>15</v>
      </c>
      <c r="F95" t="s">
        <v>16</v>
      </c>
      <c r="G95" t="s">
        <v>17</v>
      </c>
      <c r="H95" t="s">
        <v>17</v>
      </c>
      <c r="I95" t="s">
        <v>17</v>
      </c>
      <c r="J95" t="s">
        <v>17</v>
      </c>
      <c r="K95" t="s">
        <v>17</v>
      </c>
      <c r="L95" s="4" t="s">
        <v>17</v>
      </c>
    </row>
    <row r="96" spans="1:12" x14ac:dyDescent="0.25">
      <c r="A96" t="s">
        <v>124</v>
      </c>
      <c r="B96" t="s">
        <v>50</v>
      </c>
      <c r="C96" t="s">
        <v>36</v>
      </c>
      <c r="D96">
        <v>6</v>
      </c>
      <c r="E96" t="s">
        <v>20</v>
      </c>
      <c r="F96" t="s">
        <v>17</v>
      </c>
      <c r="G96" t="s">
        <v>17</v>
      </c>
      <c r="H96" t="s">
        <v>17</v>
      </c>
      <c r="I96" t="s">
        <v>17</v>
      </c>
      <c r="J96" t="s">
        <v>17</v>
      </c>
      <c r="K96" t="s">
        <v>17</v>
      </c>
      <c r="L96" s="4" t="s">
        <v>17</v>
      </c>
    </row>
    <row r="97" spans="1:12" x14ac:dyDescent="0.25">
      <c r="A97" t="s">
        <v>125</v>
      </c>
      <c r="B97" t="s">
        <v>32</v>
      </c>
      <c r="C97" t="s">
        <v>29</v>
      </c>
      <c r="D97">
        <v>4</v>
      </c>
      <c r="E97" t="s">
        <v>27</v>
      </c>
      <c r="F97" t="s">
        <v>16</v>
      </c>
      <c r="G97" t="s">
        <v>16</v>
      </c>
      <c r="H97" t="s">
        <v>17</v>
      </c>
      <c r="I97" t="s">
        <v>17</v>
      </c>
      <c r="J97" t="s">
        <v>17</v>
      </c>
      <c r="K97" t="s">
        <v>17</v>
      </c>
      <c r="L97" s="4" t="s">
        <v>17</v>
      </c>
    </row>
    <row r="98" spans="1:12" x14ac:dyDescent="0.25">
      <c r="A98" t="s">
        <v>126</v>
      </c>
      <c r="B98" t="s">
        <v>22</v>
      </c>
      <c r="C98" t="s">
        <v>33</v>
      </c>
      <c r="D98">
        <v>6</v>
      </c>
      <c r="E98" t="s">
        <v>30</v>
      </c>
      <c r="F98" t="s">
        <v>16</v>
      </c>
      <c r="G98" t="s">
        <v>17</v>
      </c>
      <c r="H98" t="s">
        <v>17</v>
      </c>
      <c r="I98" t="s">
        <v>17</v>
      </c>
      <c r="J98" t="s">
        <v>17</v>
      </c>
      <c r="K98" t="s">
        <v>17</v>
      </c>
      <c r="L98" s="4" t="s">
        <v>17</v>
      </c>
    </row>
    <row r="99" spans="1:12" x14ac:dyDescent="0.25">
      <c r="A99" t="s">
        <v>127</v>
      </c>
      <c r="B99" t="s">
        <v>22</v>
      </c>
      <c r="C99" t="s">
        <v>33</v>
      </c>
      <c r="D99">
        <v>2</v>
      </c>
      <c r="E99" t="s">
        <v>15</v>
      </c>
      <c r="F99" t="s">
        <v>16</v>
      </c>
      <c r="G99" t="s">
        <v>16</v>
      </c>
      <c r="H99" t="s">
        <v>16</v>
      </c>
      <c r="I99" t="s">
        <v>16</v>
      </c>
      <c r="J99" t="s">
        <v>16</v>
      </c>
      <c r="K99" t="s">
        <v>17</v>
      </c>
      <c r="L99" s="4" t="s">
        <v>17</v>
      </c>
    </row>
    <row r="100" spans="1:12" x14ac:dyDescent="0.25">
      <c r="A100" t="s">
        <v>128</v>
      </c>
      <c r="B100" t="s">
        <v>32</v>
      </c>
      <c r="C100" t="s">
        <v>33</v>
      </c>
      <c r="D100">
        <v>1</v>
      </c>
      <c r="E100" t="s">
        <v>40</v>
      </c>
      <c r="F100" t="s">
        <v>16</v>
      </c>
      <c r="G100" t="s">
        <v>16</v>
      </c>
      <c r="H100" t="s">
        <v>16</v>
      </c>
      <c r="I100" t="s">
        <v>16</v>
      </c>
      <c r="J100" t="s">
        <v>16</v>
      </c>
      <c r="K100" t="s">
        <v>16</v>
      </c>
      <c r="L100" s="4" t="s">
        <v>16</v>
      </c>
    </row>
    <row r="101" spans="1:12" x14ac:dyDescent="0.25">
      <c r="A101" t="s">
        <v>129</v>
      </c>
      <c r="B101" t="s">
        <v>22</v>
      </c>
      <c r="C101" t="s">
        <v>36</v>
      </c>
      <c r="D101">
        <v>3</v>
      </c>
      <c r="E101" t="s">
        <v>23</v>
      </c>
      <c r="F101" t="s">
        <v>16</v>
      </c>
      <c r="G101" t="s">
        <v>17</v>
      </c>
      <c r="H101" t="s">
        <v>17</v>
      </c>
      <c r="I101" t="s">
        <v>17</v>
      </c>
      <c r="J101" t="s">
        <v>17</v>
      </c>
      <c r="K101" t="s">
        <v>17</v>
      </c>
      <c r="L101" s="4" t="s">
        <v>17</v>
      </c>
    </row>
    <row r="102" spans="1:12" x14ac:dyDescent="0.25">
      <c r="A102" t="s">
        <v>130</v>
      </c>
      <c r="B102" t="s">
        <v>32</v>
      </c>
      <c r="C102" t="s">
        <v>33</v>
      </c>
      <c r="D102">
        <v>2</v>
      </c>
      <c r="E102" t="s">
        <v>30</v>
      </c>
      <c r="F102" t="s">
        <v>17</v>
      </c>
      <c r="G102" t="s">
        <v>17</v>
      </c>
      <c r="H102" t="s">
        <v>17</v>
      </c>
      <c r="I102" t="s">
        <v>17</v>
      </c>
      <c r="J102" t="s">
        <v>17</v>
      </c>
      <c r="K102" t="s">
        <v>17</v>
      </c>
      <c r="L102" s="4" t="s">
        <v>17</v>
      </c>
    </row>
    <row r="103" spans="1:12" x14ac:dyDescent="0.25">
      <c r="A103" t="s">
        <v>131</v>
      </c>
      <c r="B103" t="s">
        <v>32</v>
      </c>
      <c r="C103" t="s">
        <v>36</v>
      </c>
      <c r="D103">
        <v>3</v>
      </c>
      <c r="E103" t="s">
        <v>27</v>
      </c>
      <c r="F103" t="s">
        <v>16</v>
      </c>
      <c r="G103" t="s">
        <v>16</v>
      </c>
      <c r="H103" t="s">
        <v>17</v>
      </c>
      <c r="I103" t="s">
        <v>17</v>
      </c>
      <c r="J103" t="s">
        <v>17</v>
      </c>
      <c r="K103" t="s">
        <v>17</v>
      </c>
      <c r="L103" s="4" t="s">
        <v>17</v>
      </c>
    </row>
    <row r="104" spans="1:12" x14ac:dyDescent="0.25">
      <c r="A104" t="s">
        <v>132</v>
      </c>
      <c r="B104" t="s">
        <v>22</v>
      </c>
      <c r="C104" t="s">
        <v>29</v>
      </c>
      <c r="D104">
        <v>6</v>
      </c>
      <c r="E104" t="s">
        <v>23</v>
      </c>
      <c r="F104" t="s">
        <v>16</v>
      </c>
      <c r="G104" t="s">
        <v>16</v>
      </c>
      <c r="H104" t="s">
        <v>16</v>
      </c>
      <c r="I104" t="s">
        <v>17</v>
      </c>
      <c r="J104" t="s">
        <v>17</v>
      </c>
      <c r="K104" t="s">
        <v>17</v>
      </c>
      <c r="L104" s="4" t="s">
        <v>17</v>
      </c>
    </row>
    <row r="105" spans="1:12" x14ac:dyDescent="0.25">
      <c r="A105" t="s">
        <v>133</v>
      </c>
      <c r="B105" t="s">
        <v>50</v>
      </c>
      <c r="C105" t="s">
        <v>33</v>
      </c>
      <c r="D105">
        <v>2</v>
      </c>
      <c r="E105" t="s">
        <v>40</v>
      </c>
      <c r="F105" t="s">
        <v>17</v>
      </c>
      <c r="G105" t="s">
        <v>17</v>
      </c>
      <c r="H105" t="s">
        <v>17</v>
      </c>
      <c r="I105" t="s">
        <v>17</v>
      </c>
      <c r="J105" t="s">
        <v>17</v>
      </c>
      <c r="K105" t="s">
        <v>17</v>
      </c>
      <c r="L105" s="4" t="s">
        <v>17</v>
      </c>
    </row>
    <row r="106" spans="1:12" x14ac:dyDescent="0.25">
      <c r="A106" t="s">
        <v>134</v>
      </c>
      <c r="B106" t="s">
        <v>22</v>
      </c>
      <c r="C106" t="s">
        <v>36</v>
      </c>
      <c r="D106">
        <v>2</v>
      </c>
      <c r="E106" t="s">
        <v>40</v>
      </c>
      <c r="F106" t="s">
        <v>16</v>
      </c>
      <c r="G106" t="s">
        <v>16</v>
      </c>
      <c r="H106" t="s">
        <v>16</v>
      </c>
      <c r="I106" t="s">
        <v>16</v>
      </c>
      <c r="J106" t="s">
        <v>16</v>
      </c>
      <c r="K106" t="s">
        <v>17</v>
      </c>
      <c r="L106" s="4" t="s">
        <v>17</v>
      </c>
    </row>
    <row r="107" spans="1:12" x14ac:dyDescent="0.25">
      <c r="A107" t="s">
        <v>135</v>
      </c>
      <c r="B107" t="s">
        <v>13</v>
      </c>
      <c r="C107" t="s">
        <v>29</v>
      </c>
      <c r="D107">
        <v>0</v>
      </c>
      <c r="E107" t="s">
        <v>40</v>
      </c>
      <c r="F107" t="s">
        <v>16</v>
      </c>
      <c r="G107" t="s">
        <v>16</v>
      </c>
      <c r="H107" t="s">
        <v>16</v>
      </c>
      <c r="I107" t="s">
        <v>16</v>
      </c>
      <c r="J107" t="s">
        <v>16</v>
      </c>
      <c r="K107" t="s">
        <v>17</v>
      </c>
      <c r="L107" s="4" t="s">
        <v>17</v>
      </c>
    </row>
    <row r="108" spans="1:12" x14ac:dyDescent="0.25">
      <c r="A108" t="s">
        <v>136</v>
      </c>
      <c r="B108" t="s">
        <v>32</v>
      </c>
      <c r="C108" t="s">
        <v>29</v>
      </c>
      <c r="D108">
        <v>3</v>
      </c>
      <c r="E108" t="s">
        <v>30</v>
      </c>
      <c r="F108" t="s">
        <v>16</v>
      </c>
      <c r="G108" t="s">
        <v>17</v>
      </c>
      <c r="H108" t="s">
        <v>17</v>
      </c>
      <c r="I108" t="s">
        <v>17</v>
      </c>
      <c r="J108" t="s">
        <v>17</v>
      </c>
      <c r="K108" t="s">
        <v>17</v>
      </c>
      <c r="L108" s="4" t="s">
        <v>17</v>
      </c>
    </row>
    <row r="109" spans="1:12" x14ac:dyDescent="0.25">
      <c r="A109" t="s">
        <v>137</v>
      </c>
      <c r="B109" t="s">
        <v>22</v>
      </c>
      <c r="C109" t="s">
        <v>14</v>
      </c>
      <c r="D109">
        <v>4</v>
      </c>
      <c r="E109" t="s">
        <v>27</v>
      </c>
      <c r="F109" t="s">
        <v>16</v>
      </c>
      <c r="G109" t="s">
        <v>16</v>
      </c>
      <c r="H109" t="s">
        <v>16</v>
      </c>
      <c r="I109" t="s">
        <v>16</v>
      </c>
      <c r="J109" t="s">
        <v>16</v>
      </c>
      <c r="K109" t="s">
        <v>16</v>
      </c>
      <c r="L109" s="4" t="s">
        <v>16</v>
      </c>
    </row>
    <row r="110" spans="1:12" x14ac:dyDescent="0.25">
      <c r="A110" t="s">
        <v>138</v>
      </c>
      <c r="B110" t="s">
        <v>32</v>
      </c>
      <c r="C110" t="s">
        <v>19</v>
      </c>
      <c r="D110">
        <v>2</v>
      </c>
      <c r="E110" t="s">
        <v>20</v>
      </c>
      <c r="F110" t="s">
        <v>17</v>
      </c>
      <c r="G110" t="s">
        <v>17</v>
      </c>
      <c r="H110" t="s">
        <v>17</v>
      </c>
      <c r="I110" t="s">
        <v>17</v>
      </c>
      <c r="J110" t="s">
        <v>17</v>
      </c>
      <c r="K110" t="s">
        <v>17</v>
      </c>
      <c r="L110" s="4" t="s">
        <v>17</v>
      </c>
    </row>
    <row r="111" spans="1:12" x14ac:dyDescent="0.25">
      <c r="A111" t="s">
        <v>139</v>
      </c>
      <c r="B111" t="s">
        <v>22</v>
      </c>
      <c r="C111" t="s">
        <v>33</v>
      </c>
      <c r="D111">
        <v>4</v>
      </c>
      <c r="E111" t="s">
        <v>23</v>
      </c>
      <c r="F111" t="s">
        <v>16</v>
      </c>
      <c r="G111" t="s">
        <v>17</v>
      </c>
      <c r="H111" t="s">
        <v>17</v>
      </c>
      <c r="I111" t="s">
        <v>17</v>
      </c>
      <c r="J111" t="s">
        <v>17</v>
      </c>
      <c r="K111" t="s">
        <v>17</v>
      </c>
      <c r="L111" s="4" t="s">
        <v>17</v>
      </c>
    </row>
    <row r="112" spans="1:12" x14ac:dyDescent="0.25">
      <c r="A112" t="s">
        <v>140</v>
      </c>
      <c r="B112" t="s">
        <v>13</v>
      </c>
      <c r="C112" t="s">
        <v>36</v>
      </c>
      <c r="D112">
        <v>0</v>
      </c>
      <c r="E112" t="s">
        <v>15</v>
      </c>
      <c r="F112" t="s">
        <v>16</v>
      </c>
      <c r="G112" t="s">
        <v>17</v>
      </c>
      <c r="H112" t="s">
        <v>17</v>
      </c>
      <c r="I112" t="s">
        <v>17</v>
      </c>
      <c r="J112" t="s">
        <v>17</v>
      </c>
      <c r="K112" t="s">
        <v>17</v>
      </c>
      <c r="L112" s="4" t="s">
        <v>17</v>
      </c>
    </row>
    <row r="113" spans="1:12" x14ac:dyDescent="0.25">
      <c r="A113" t="s">
        <v>141</v>
      </c>
      <c r="B113" t="s">
        <v>22</v>
      </c>
      <c r="C113" t="s">
        <v>36</v>
      </c>
      <c r="D113">
        <v>5</v>
      </c>
      <c r="E113" t="s">
        <v>20</v>
      </c>
      <c r="F113" t="s">
        <v>16</v>
      </c>
      <c r="G113" t="s">
        <v>16</v>
      </c>
      <c r="H113" t="s">
        <v>16</v>
      </c>
      <c r="I113" t="s">
        <v>16</v>
      </c>
      <c r="J113" t="s">
        <v>16</v>
      </c>
      <c r="K113" t="s">
        <v>16</v>
      </c>
      <c r="L113" s="4" t="s">
        <v>16</v>
      </c>
    </row>
    <row r="114" spans="1:12" x14ac:dyDescent="0.25">
      <c r="A114" t="s">
        <v>142</v>
      </c>
      <c r="B114" t="s">
        <v>22</v>
      </c>
      <c r="C114" t="s">
        <v>29</v>
      </c>
      <c r="D114">
        <v>4</v>
      </c>
      <c r="E114" t="s">
        <v>23</v>
      </c>
      <c r="F114" t="s">
        <v>17</v>
      </c>
      <c r="G114" t="s">
        <v>17</v>
      </c>
      <c r="H114" t="s">
        <v>17</v>
      </c>
      <c r="I114" t="s">
        <v>17</v>
      </c>
      <c r="J114" t="s">
        <v>17</v>
      </c>
      <c r="K114" t="s">
        <v>17</v>
      </c>
      <c r="L114" s="4" t="s">
        <v>17</v>
      </c>
    </row>
    <row r="115" spans="1:12" x14ac:dyDescent="0.25">
      <c r="A115" t="s">
        <v>143</v>
      </c>
      <c r="B115" t="s">
        <v>22</v>
      </c>
      <c r="C115" t="s">
        <v>14</v>
      </c>
      <c r="D115">
        <v>1</v>
      </c>
      <c r="E115" t="s">
        <v>23</v>
      </c>
      <c r="F115" t="s">
        <v>16</v>
      </c>
      <c r="G115" t="s">
        <v>16</v>
      </c>
      <c r="H115" t="s">
        <v>16</v>
      </c>
      <c r="I115" t="s">
        <v>16</v>
      </c>
      <c r="J115" t="s">
        <v>16</v>
      </c>
      <c r="K115" t="s">
        <v>16</v>
      </c>
      <c r="L115" s="4" t="s">
        <v>16</v>
      </c>
    </row>
    <row r="116" spans="1:12" x14ac:dyDescent="0.25">
      <c r="A116" t="s">
        <v>144</v>
      </c>
      <c r="B116" t="s">
        <v>50</v>
      </c>
      <c r="C116" t="s">
        <v>36</v>
      </c>
      <c r="D116">
        <v>3</v>
      </c>
      <c r="E116" t="s">
        <v>23</v>
      </c>
      <c r="F116" t="s">
        <v>16</v>
      </c>
      <c r="G116" t="s">
        <v>16</v>
      </c>
      <c r="H116" t="s">
        <v>16</v>
      </c>
      <c r="I116" t="s">
        <v>17</v>
      </c>
      <c r="J116" t="s">
        <v>17</v>
      </c>
      <c r="K116" t="s">
        <v>17</v>
      </c>
      <c r="L116" s="4" t="s">
        <v>17</v>
      </c>
    </row>
    <row r="117" spans="1:12" x14ac:dyDescent="0.25">
      <c r="A117" t="s">
        <v>145</v>
      </c>
      <c r="B117" t="s">
        <v>32</v>
      </c>
      <c r="C117" t="s">
        <v>33</v>
      </c>
      <c r="D117">
        <v>3</v>
      </c>
      <c r="E117" t="s">
        <v>23</v>
      </c>
      <c r="F117" t="s">
        <v>16</v>
      </c>
      <c r="G117" t="s">
        <v>16</v>
      </c>
      <c r="H117" t="s">
        <v>16</v>
      </c>
      <c r="I117" t="s">
        <v>17</v>
      </c>
      <c r="J117" t="s">
        <v>17</v>
      </c>
      <c r="K117" t="s">
        <v>17</v>
      </c>
      <c r="L117" s="4" t="s">
        <v>17</v>
      </c>
    </row>
    <row r="118" spans="1:12" x14ac:dyDescent="0.25">
      <c r="A118" t="s">
        <v>146</v>
      </c>
      <c r="B118" t="s">
        <v>25</v>
      </c>
      <c r="C118" t="s">
        <v>33</v>
      </c>
      <c r="D118">
        <v>0</v>
      </c>
      <c r="E118" t="s">
        <v>23</v>
      </c>
      <c r="F118" t="s">
        <v>17</v>
      </c>
      <c r="G118" t="s">
        <v>17</v>
      </c>
      <c r="H118" t="s">
        <v>17</v>
      </c>
      <c r="I118" t="s">
        <v>17</v>
      </c>
      <c r="J118" t="s">
        <v>17</v>
      </c>
      <c r="K118" t="s">
        <v>17</v>
      </c>
      <c r="L118" s="4" t="s">
        <v>17</v>
      </c>
    </row>
    <row r="119" spans="1:12" x14ac:dyDescent="0.25">
      <c r="A119" t="s">
        <v>147</v>
      </c>
      <c r="B119" t="s">
        <v>32</v>
      </c>
      <c r="C119" t="s">
        <v>29</v>
      </c>
      <c r="D119">
        <v>1</v>
      </c>
      <c r="E119" t="s">
        <v>30</v>
      </c>
      <c r="F119" t="s">
        <v>16</v>
      </c>
      <c r="G119" t="s">
        <v>16</v>
      </c>
      <c r="H119" t="s">
        <v>16</v>
      </c>
      <c r="I119" t="s">
        <v>17</v>
      </c>
      <c r="J119" t="s">
        <v>17</v>
      </c>
      <c r="K119" t="s">
        <v>17</v>
      </c>
      <c r="L119" s="4" t="s">
        <v>17</v>
      </c>
    </row>
    <row r="120" spans="1:12" x14ac:dyDescent="0.25">
      <c r="A120" t="s">
        <v>148</v>
      </c>
      <c r="B120" t="s">
        <v>32</v>
      </c>
      <c r="C120" t="s">
        <v>29</v>
      </c>
      <c r="D120">
        <v>0</v>
      </c>
      <c r="E120" t="s">
        <v>30</v>
      </c>
      <c r="F120" t="s">
        <v>16</v>
      </c>
      <c r="G120" t="s">
        <v>16</v>
      </c>
      <c r="H120" t="s">
        <v>17</v>
      </c>
      <c r="I120" t="s">
        <v>17</v>
      </c>
      <c r="J120" t="s">
        <v>17</v>
      </c>
      <c r="K120" t="s">
        <v>17</v>
      </c>
      <c r="L120" s="4" t="s">
        <v>17</v>
      </c>
    </row>
    <row r="121" spans="1:12" x14ac:dyDescent="0.25">
      <c r="A121" t="s">
        <v>149</v>
      </c>
      <c r="B121" t="s">
        <v>25</v>
      </c>
      <c r="C121" t="s">
        <v>36</v>
      </c>
      <c r="D121">
        <v>5</v>
      </c>
      <c r="E121" t="s">
        <v>30</v>
      </c>
      <c r="F121" t="s">
        <v>16</v>
      </c>
      <c r="G121" t="s">
        <v>17</v>
      </c>
      <c r="H121" t="s">
        <v>17</v>
      </c>
      <c r="I121" t="s">
        <v>17</v>
      </c>
      <c r="J121" t="s">
        <v>17</v>
      </c>
      <c r="K121" t="s">
        <v>17</v>
      </c>
      <c r="L121" s="4" t="s">
        <v>17</v>
      </c>
    </row>
    <row r="122" spans="1:12" x14ac:dyDescent="0.25">
      <c r="A122" t="s">
        <v>150</v>
      </c>
      <c r="B122" t="s">
        <v>25</v>
      </c>
      <c r="C122" t="s">
        <v>33</v>
      </c>
      <c r="D122">
        <v>3</v>
      </c>
      <c r="E122" t="s">
        <v>40</v>
      </c>
      <c r="F122" t="s">
        <v>16</v>
      </c>
      <c r="G122" t="s">
        <v>16</v>
      </c>
      <c r="H122" t="s">
        <v>17</v>
      </c>
      <c r="I122" t="s">
        <v>17</v>
      </c>
      <c r="J122" t="s">
        <v>17</v>
      </c>
      <c r="K122" t="s">
        <v>17</v>
      </c>
      <c r="L122" s="4" t="s">
        <v>17</v>
      </c>
    </row>
    <row r="123" spans="1:12" x14ac:dyDescent="0.25">
      <c r="A123" t="s">
        <v>151</v>
      </c>
      <c r="B123" t="s">
        <v>32</v>
      </c>
      <c r="C123" t="s">
        <v>33</v>
      </c>
      <c r="D123">
        <v>0</v>
      </c>
      <c r="E123" t="s">
        <v>23</v>
      </c>
      <c r="F123" t="s">
        <v>17</v>
      </c>
      <c r="G123" t="s">
        <v>17</v>
      </c>
      <c r="H123" t="s">
        <v>17</v>
      </c>
      <c r="I123" t="s">
        <v>17</v>
      </c>
      <c r="J123" t="s">
        <v>17</v>
      </c>
      <c r="K123" t="s">
        <v>17</v>
      </c>
      <c r="L123" s="4" t="s">
        <v>17</v>
      </c>
    </row>
    <row r="124" spans="1:12" x14ac:dyDescent="0.25">
      <c r="A124" t="s">
        <v>152</v>
      </c>
      <c r="B124" t="s">
        <v>32</v>
      </c>
      <c r="C124" t="s">
        <v>14</v>
      </c>
      <c r="D124">
        <v>4</v>
      </c>
      <c r="E124" t="s">
        <v>27</v>
      </c>
      <c r="F124" t="s">
        <v>16</v>
      </c>
      <c r="G124" t="s">
        <v>16</v>
      </c>
      <c r="H124" t="s">
        <v>16</v>
      </c>
      <c r="I124" t="s">
        <v>16</v>
      </c>
      <c r="J124" t="s">
        <v>16</v>
      </c>
      <c r="K124" t="s">
        <v>16</v>
      </c>
      <c r="L124" s="4" t="s">
        <v>16</v>
      </c>
    </row>
    <row r="125" spans="1:12" x14ac:dyDescent="0.25">
      <c r="A125" t="s">
        <v>153</v>
      </c>
      <c r="B125" t="s">
        <v>25</v>
      </c>
      <c r="C125" t="s">
        <v>33</v>
      </c>
      <c r="D125">
        <v>0</v>
      </c>
      <c r="E125" t="s">
        <v>23</v>
      </c>
      <c r="F125" t="s">
        <v>16</v>
      </c>
      <c r="G125" t="s">
        <v>16</v>
      </c>
      <c r="H125" t="s">
        <v>16</v>
      </c>
      <c r="I125" t="s">
        <v>17</v>
      </c>
      <c r="J125" t="s">
        <v>17</v>
      </c>
      <c r="K125" t="s">
        <v>17</v>
      </c>
      <c r="L125" s="4" t="s">
        <v>17</v>
      </c>
    </row>
    <row r="126" spans="1:12" x14ac:dyDescent="0.25">
      <c r="A126" t="s">
        <v>154</v>
      </c>
      <c r="B126" t="s">
        <v>32</v>
      </c>
      <c r="C126" t="s">
        <v>14</v>
      </c>
      <c r="D126">
        <v>6</v>
      </c>
      <c r="E126" t="s">
        <v>40</v>
      </c>
      <c r="F126" t="s">
        <v>16</v>
      </c>
      <c r="G126" t="s">
        <v>16</v>
      </c>
      <c r="H126" t="s">
        <v>17</v>
      </c>
      <c r="I126" t="s">
        <v>17</v>
      </c>
      <c r="J126" t="s">
        <v>17</v>
      </c>
      <c r="K126" t="s">
        <v>17</v>
      </c>
      <c r="L126" s="4" t="s">
        <v>17</v>
      </c>
    </row>
    <row r="127" spans="1:12" x14ac:dyDescent="0.25">
      <c r="A127" t="s">
        <v>155</v>
      </c>
      <c r="B127" t="s">
        <v>32</v>
      </c>
      <c r="C127" t="s">
        <v>29</v>
      </c>
      <c r="D127">
        <v>4</v>
      </c>
      <c r="E127" t="s">
        <v>23</v>
      </c>
      <c r="F127" t="s">
        <v>16</v>
      </c>
      <c r="G127" t="s">
        <v>17</v>
      </c>
      <c r="H127" t="s">
        <v>17</v>
      </c>
      <c r="I127" t="s">
        <v>17</v>
      </c>
      <c r="J127" t="s">
        <v>17</v>
      </c>
      <c r="K127" t="s">
        <v>17</v>
      </c>
      <c r="L127" s="4" t="s">
        <v>17</v>
      </c>
    </row>
    <row r="128" spans="1:12" x14ac:dyDescent="0.25">
      <c r="A128" t="s">
        <v>156</v>
      </c>
      <c r="B128" t="s">
        <v>50</v>
      </c>
      <c r="C128" t="s">
        <v>14</v>
      </c>
      <c r="D128">
        <v>4</v>
      </c>
      <c r="E128" t="s">
        <v>15</v>
      </c>
      <c r="F128" t="s">
        <v>16</v>
      </c>
      <c r="G128" t="s">
        <v>17</v>
      </c>
      <c r="H128" t="s">
        <v>17</v>
      </c>
      <c r="I128" t="s">
        <v>17</v>
      </c>
      <c r="J128" t="s">
        <v>17</v>
      </c>
      <c r="K128" t="s">
        <v>17</v>
      </c>
      <c r="L128" s="4" t="s">
        <v>17</v>
      </c>
    </row>
    <row r="129" spans="1:12" x14ac:dyDescent="0.25">
      <c r="A129" t="s">
        <v>157</v>
      </c>
      <c r="B129" t="s">
        <v>32</v>
      </c>
      <c r="C129" t="s">
        <v>19</v>
      </c>
      <c r="D129">
        <v>6</v>
      </c>
      <c r="E129" t="s">
        <v>40</v>
      </c>
      <c r="F129" t="s">
        <v>16</v>
      </c>
      <c r="G129" t="s">
        <v>17</v>
      </c>
      <c r="H129" t="s">
        <v>17</v>
      </c>
      <c r="I129" t="s">
        <v>17</v>
      </c>
      <c r="J129" t="s">
        <v>17</v>
      </c>
      <c r="K129" t="s">
        <v>17</v>
      </c>
      <c r="L129" s="4" t="s">
        <v>17</v>
      </c>
    </row>
    <row r="130" spans="1:12" x14ac:dyDescent="0.25">
      <c r="A130" t="s">
        <v>158</v>
      </c>
      <c r="B130" t="s">
        <v>32</v>
      </c>
      <c r="C130" t="s">
        <v>19</v>
      </c>
      <c r="D130">
        <v>4</v>
      </c>
      <c r="E130" t="s">
        <v>27</v>
      </c>
      <c r="F130" t="s">
        <v>17</v>
      </c>
      <c r="G130" t="s">
        <v>17</v>
      </c>
      <c r="H130" t="s">
        <v>17</v>
      </c>
      <c r="I130" t="s">
        <v>17</v>
      </c>
      <c r="J130" t="s">
        <v>17</v>
      </c>
      <c r="K130" t="s">
        <v>17</v>
      </c>
      <c r="L130" s="4" t="s">
        <v>17</v>
      </c>
    </row>
    <row r="131" spans="1:12" x14ac:dyDescent="0.25">
      <c r="A131" t="s">
        <v>159</v>
      </c>
      <c r="B131" t="s">
        <v>22</v>
      </c>
      <c r="C131" t="s">
        <v>36</v>
      </c>
      <c r="D131">
        <v>4</v>
      </c>
      <c r="E131" t="s">
        <v>20</v>
      </c>
      <c r="F131" t="s">
        <v>17</v>
      </c>
      <c r="G131" t="s">
        <v>17</v>
      </c>
      <c r="H131" t="s">
        <v>17</v>
      </c>
      <c r="I131" t="s">
        <v>17</v>
      </c>
      <c r="J131" t="s">
        <v>17</v>
      </c>
      <c r="K131" t="s">
        <v>17</v>
      </c>
      <c r="L131" s="4" t="s">
        <v>17</v>
      </c>
    </row>
    <row r="132" spans="1:12" x14ac:dyDescent="0.25">
      <c r="A132" t="s">
        <v>160</v>
      </c>
      <c r="B132" t="s">
        <v>32</v>
      </c>
      <c r="C132" t="s">
        <v>14</v>
      </c>
      <c r="D132">
        <v>4</v>
      </c>
      <c r="E132" t="s">
        <v>30</v>
      </c>
      <c r="F132" t="s">
        <v>16</v>
      </c>
      <c r="G132" t="s">
        <v>17</v>
      </c>
      <c r="H132" t="s">
        <v>17</v>
      </c>
      <c r="I132" t="s">
        <v>17</v>
      </c>
      <c r="J132" t="s">
        <v>17</v>
      </c>
      <c r="K132" t="s">
        <v>17</v>
      </c>
      <c r="L132" s="4" t="s">
        <v>17</v>
      </c>
    </row>
    <row r="133" spans="1:12" x14ac:dyDescent="0.25">
      <c r="A133" t="s">
        <v>161</v>
      </c>
      <c r="B133" t="s">
        <v>32</v>
      </c>
      <c r="C133" t="s">
        <v>33</v>
      </c>
      <c r="D133">
        <v>2</v>
      </c>
      <c r="E133" t="s">
        <v>15</v>
      </c>
      <c r="F133" t="s">
        <v>17</v>
      </c>
      <c r="G133" t="s">
        <v>17</v>
      </c>
      <c r="H133" t="s">
        <v>17</v>
      </c>
      <c r="I133" t="s">
        <v>17</v>
      </c>
      <c r="J133" t="s">
        <v>17</v>
      </c>
      <c r="K133" t="s">
        <v>17</v>
      </c>
      <c r="L133" s="4" t="s">
        <v>17</v>
      </c>
    </row>
    <row r="134" spans="1:12" x14ac:dyDescent="0.25">
      <c r="A134" t="s">
        <v>162</v>
      </c>
      <c r="B134" t="s">
        <v>22</v>
      </c>
      <c r="C134" t="s">
        <v>36</v>
      </c>
      <c r="D134">
        <v>6</v>
      </c>
      <c r="E134" t="s">
        <v>30</v>
      </c>
      <c r="F134" t="s">
        <v>16</v>
      </c>
      <c r="G134" t="s">
        <v>17</v>
      </c>
      <c r="H134" t="s">
        <v>17</v>
      </c>
      <c r="I134" t="s">
        <v>17</v>
      </c>
      <c r="J134" t="s">
        <v>17</v>
      </c>
      <c r="K134" t="s">
        <v>17</v>
      </c>
      <c r="L134" s="4" t="s">
        <v>17</v>
      </c>
    </row>
    <row r="135" spans="1:12" x14ac:dyDescent="0.25">
      <c r="A135" t="s">
        <v>163</v>
      </c>
      <c r="B135" t="s">
        <v>13</v>
      </c>
      <c r="C135" t="s">
        <v>29</v>
      </c>
      <c r="D135">
        <v>3</v>
      </c>
      <c r="E135" t="s">
        <v>23</v>
      </c>
      <c r="F135" t="s">
        <v>17</v>
      </c>
      <c r="G135" t="s">
        <v>17</v>
      </c>
      <c r="H135" t="s">
        <v>17</v>
      </c>
      <c r="I135" t="s">
        <v>17</v>
      </c>
      <c r="J135" t="s">
        <v>17</v>
      </c>
      <c r="K135" t="s">
        <v>17</v>
      </c>
      <c r="L135" s="4" t="s">
        <v>17</v>
      </c>
    </row>
    <row r="136" spans="1:12" x14ac:dyDescent="0.25">
      <c r="A136" t="s">
        <v>164</v>
      </c>
      <c r="B136" t="s">
        <v>13</v>
      </c>
      <c r="C136" t="s">
        <v>14</v>
      </c>
      <c r="D136">
        <v>0</v>
      </c>
      <c r="E136" t="s">
        <v>15</v>
      </c>
      <c r="F136" t="s">
        <v>16</v>
      </c>
      <c r="G136" t="s">
        <v>17</v>
      </c>
      <c r="H136" t="s">
        <v>17</v>
      </c>
      <c r="I136" t="s">
        <v>17</v>
      </c>
      <c r="J136" t="s">
        <v>17</v>
      </c>
      <c r="K136" t="s">
        <v>17</v>
      </c>
      <c r="L136" s="4" t="s">
        <v>17</v>
      </c>
    </row>
    <row r="137" spans="1:12" x14ac:dyDescent="0.25">
      <c r="A137" t="s">
        <v>165</v>
      </c>
      <c r="B137" t="s">
        <v>25</v>
      </c>
      <c r="C137" t="s">
        <v>19</v>
      </c>
      <c r="D137">
        <v>3</v>
      </c>
      <c r="E137" t="s">
        <v>40</v>
      </c>
      <c r="F137" t="s">
        <v>16</v>
      </c>
      <c r="G137" t="s">
        <v>16</v>
      </c>
      <c r="H137" t="s">
        <v>17</v>
      </c>
      <c r="I137" t="s">
        <v>17</v>
      </c>
      <c r="J137" t="s">
        <v>17</v>
      </c>
      <c r="K137" t="s">
        <v>17</v>
      </c>
      <c r="L137" s="4" t="s">
        <v>17</v>
      </c>
    </row>
    <row r="138" spans="1:12" x14ac:dyDescent="0.25">
      <c r="A138" t="s">
        <v>166</v>
      </c>
      <c r="B138" t="s">
        <v>32</v>
      </c>
      <c r="C138" t="s">
        <v>29</v>
      </c>
      <c r="D138">
        <v>1</v>
      </c>
      <c r="E138" t="s">
        <v>40</v>
      </c>
      <c r="F138" t="s">
        <v>16</v>
      </c>
      <c r="G138" t="s">
        <v>17</v>
      </c>
      <c r="H138" t="s">
        <v>17</v>
      </c>
      <c r="I138" t="s">
        <v>17</v>
      </c>
      <c r="J138" t="s">
        <v>17</v>
      </c>
      <c r="K138" t="s">
        <v>17</v>
      </c>
      <c r="L138" s="4" t="s">
        <v>17</v>
      </c>
    </row>
    <row r="139" spans="1:12" x14ac:dyDescent="0.25">
      <c r="A139" t="s">
        <v>167</v>
      </c>
      <c r="B139" t="s">
        <v>22</v>
      </c>
      <c r="C139" t="s">
        <v>29</v>
      </c>
      <c r="D139">
        <v>5</v>
      </c>
      <c r="E139" t="s">
        <v>40</v>
      </c>
      <c r="F139" t="s">
        <v>17</v>
      </c>
      <c r="G139" t="s">
        <v>17</v>
      </c>
      <c r="H139" t="s">
        <v>17</v>
      </c>
      <c r="I139" t="s">
        <v>17</v>
      </c>
      <c r="J139" t="s">
        <v>17</v>
      </c>
      <c r="K139" t="s">
        <v>17</v>
      </c>
      <c r="L139" s="4" t="s">
        <v>17</v>
      </c>
    </row>
    <row r="140" spans="1:12" x14ac:dyDescent="0.25">
      <c r="A140" t="s">
        <v>168</v>
      </c>
      <c r="B140" t="s">
        <v>25</v>
      </c>
      <c r="C140" t="s">
        <v>19</v>
      </c>
      <c r="D140">
        <v>3</v>
      </c>
      <c r="E140" t="s">
        <v>27</v>
      </c>
      <c r="F140" t="s">
        <v>16</v>
      </c>
      <c r="G140" t="s">
        <v>17</v>
      </c>
      <c r="H140" t="s">
        <v>17</v>
      </c>
      <c r="I140" t="s">
        <v>17</v>
      </c>
      <c r="J140" t="s">
        <v>17</v>
      </c>
      <c r="K140" t="s">
        <v>17</v>
      </c>
      <c r="L140" s="4" t="s">
        <v>17</v>
      </c>
    </row>
    <row r="141" spans="1:12" x14ac:dyDescent="0.25">
      <c r="A141" t="s">
        <v>169</v>
      </c>
      <c r="B141" t="s">
        <v>32</v>
      </c>
      <c r="C141" t="s">
        <v>33</v>
      </c>
      <c r="D141">
        <v>4</v>
      </c>
      <c r="E141" t="s">
        <v>40</v>
      </c>
      <c r="F141" t="s">
        <v>16</v>
      </c>
      <c r="G141" t="s">
        <v>17</v>
      </c>
      <c r="H141" t="s">
        <v>17</v>
      </c>
      <c r="I141" t="s">
        <v>17</v>
      </c>
      <c r="J141" t="s">
        <v>17</v>
      </c>
      <c r="K141" t="s">
        <v>17</v>
      </c>
      <c r="L141" s="4" t="s">
        <v>17</v>
      </c>
    </row>
    <row r="142" spans="1:12" x14ac:dyDescent="0.25">
      <c r="A142" t="s">
        <v>170</v>
      </c>
      <c r="B142" t="s">
        <v>22</v>
      </c>
      <c r="C142" t="s">
        <v>14</v>
      </c>
      <c r="D142">
        <v>0</v>
      </c>
      <c r="E142" t="s">
        <v>30</v>
      </c>
      <c r="F142" t="s">
        <v>17</v>
      </c>
      <c r="G142" t="s">
        <v>17</v>
      </c>
      <c r="H142" t="s">
        <v>17</v>
      </c>
      <c r="I142" t="s">
        <v>17</v>
      </c>
      <c r="J142" t="s">
        <v>17</v>
      </c>
      <c r="K142" t="s">
        <v>17</v>
      </c>
      <c r="L142" s="4" t="s">
        <v>17</v>
      </c>
    </row>
    <row r="143" spans="1:12" x14ac:dyDescent="0.25">
      <c r="A143" t="s">
        <v>171</v>
      </c>
      <c r="B143" t="s">
        <v>25</v>
      </c>
      <c r="C143" t="s">
        <v>29</v>
      </c>
      <c r="D143">
        <v>0</v>
      </c>
      <c r="E143" t="s">
        <v>30</v>
      </c>
      <c r="F143" t="s">
        <v>16</v>
      </c>
      <c r="G143" t="s">
        <v>16</v>
      </c>
      <c r="H143" t="s">
        <v>16</v>
      </c>
      <c r="I143" t="s">
        <v>16</v>
      </c>
      <c r="J143" t="s">
        <v>16</v>
      </c>
      <c r="K143" t="s">
        <v>16</v>
      </c>
      <c r="L143" s="4" t="s">
        <v>16</v>
      </c>
    </row>
    <row r="144" spans="1:12" x14ac:dyDescent="0.25">
      <c r="A144" t="s">
        <v>172</v>
      </c>
      <c r="B144" t="s">
        <v>22</v>
      </c>
      <c r="C144" t="s">
        <v>36</v>
      </c>
      <c r="D144">
        <v>5</v>
      </c>
      <c r="E144" t="s">
        <v>15</v>
      </c>
      <c r="F144" t="s">
        <v>16</v>
      </c>
      <c r="G144" t="s">
        <v>16</v>
      </c>
      <c r="H144" t="s">
        <v>17</v>
      </c>
      <c r="I144" t="s">
        <v>17</v>
      </c>
      <c r="J144" t="s">
        <v>17</v>
      </c>
      <c r="K144" t="s">
        <v>17</v>
      </c>
      <c r="L144" s="4" t="s">
        <v>17</v>
      </c>
    </row>
    <row r="145" spans="1:12" x14ac:dyDescent="0.25">
      <c r="A145" t="s">
        <v>173</v>
      </c>
      <c r="B145" t="s">
        <v>13</v>
      </c>
      <c r="C145" t="s">
        <v>14</v>
      </c>
      <c r="D145">
        <v>4</v>
      </c>
      <c r="E145" t="s">
        <v>15</v>
      </c>
      <c r="F145" t="s">
        <v>16</v>
      </c>
      <c r="G145" t="s">
        <v>17</v>
      </c>
      <c r="H145" t="s">
        <v>17</v>
      </c>
      <c r="I145" t="s">
        <v>17</v>
      </c>
      <c r="J145" t="s">
        <v>17</v>
      </c>
      <c r="K145" t="s">
        <v>17</v>
      </c>
      <c r="L145" s="4" t="s">
        <v>17</v>
      </c>
    </row>
    <row r="146" spans="1:12" x14ac:dyDescent="0.25">
      <c r="A146" t="s">
        <v>174</v>
      </c>
      <c r="B146" t="s">
        <v>32</v>
      </c>
      <c r="C146" t="s">
        <v>29</v>
      </c>
      <c r="D146">
        <v>6</v>
      </c>
      <c r="E146" t="s">
        <v>30</v>
      </c>
      <c r="F146" t="s">
        <v>17</v>
      </c>
      <c r="G146" t="s">
        <v>17</v>
      </c>
      <c r="H146" t="s">
        <v>17</v>
      </c>
      <c r="I146" t="s">
        <v>17</v>
      </c>
      <c r="J146" t="s">
        <v>17</v>
      </c>
      <c r="K146" t="s">
        <v>17</v>
      </c>
      <c r="L146" s="4" t="s">
        <v>17</v>
      </c>
    </row>
    <row r="147" spans="1:12" x14ac:dyDescent="0.25">
      <c r="A147" t="s">
        <v>175</v>
      </c>
      <c r="B147" t="s">
        <v>13</v>
      </c>
      <c r="C147" t="s">
        <v>14</v>
      </c>
      <c r="D147">
        <v>3</v>
      </c>
      <c r="E147" t="s">
        <v>27</v>
      </c>
      <c r="F147" t="s">
        <v>17</v>
      </c>
      <c r="G147" t="s">
        <v>17</v>
      </c>
      <c r="H147" t="s">
        <v>17</v>
      </c>
      <c r="I147" t="s">
        <v>17</v>
      </c>
      <c r="J147" t="s">
        <v>17</v>
      </c>
      <c r="K147" t="s">
        <v>17</v>
      </c>
      <c r="L147" s="4" t="s">
        <v>17</v>
      </c>
    </row>
    <row r="148" spans="1:12" x14ac:dyDescent="0.25">
      <c r="A148" t="s">
        <v>176</v>
      </c>
      <c r="B148" t="s">
        <v>22</v>
      </c>
      <c r="C148" t="s">
        <v>19</v>
      </c>
      <c r="D148">
        <v>5</v>
      </c>
      <c r="E148" t="s">
        <v>27</v>
      </c>
      <c r="F148" t="s">
        <v>16</v>
      </c>
      <c r="G148" t="s">
        <v>16</v>
      </c>
      <c r="H148" t="s">
        <v>17</v>
      </c>
      <c r="I148" t="s">
        <v>17</v>
      </c>
      <c r="J148" t="s">
        <v>17</v>
      </c>
      <c r="K148" t="s">
        <v>17</v>
      </c>
      <c r="L148" s="4" t="s">
        <v>17</v>
      </c>
    </row>
    <row r="149" spans="1:12" x14ac:dyDescent="0.25">
      <c r="A149" t="s">
        <v>177</v>
      </c>
      <c r="B149" t="s">
        <v>25</v>
      </c>
      <c r="C149" t="s">
        <v>14</v>
      </c>
      <c r="D149">
        <v>3</v>
      </c>
      <c r="E149" t="s">
        <v>20</v>
      </c>
      <c r="F149" t="s">
        <v>16</v>
      </c>
      <c r="G149" t="s">
        <v>16</v>
      </c>
      <c r="H149" t="s">
        <v>17</v>
      </c>
      <c r="I149" t="s">
        <v>17</v>
      </c>
      <c r="J149" t="s">
        <v>17</v>
      </c>
      <c r="K149" t="s">
        <v>17</v>
      </c>
      <c r="L149" s="4" t="s">
        <v>17</v>
      </c>
    </row>
    <row r="150" spans="1:12" x14ac:dyDescent="0.25">
      <c r="A150" t="s">
        <v>178</v>
      </c>
      <c r="B150" t="s">
        <v>22</v>
      </c>
      <c r="C150" t="s">
        <v>29</v>
      </c>
      <c r="D150">
        <v>3</v>
      </c>
      <c r="E150" t="s">
        <v>27</v>
      </c>
      <c r="F150" t="s">
        <v>16</v>
      </c>
      <c r="G150" t="s">
        <v>17</v>
      </c>
      <c r="H150" t="s">
        <v>17</v>
      </c>
      <c r="I150" t="s">
        <v>17</v>
      </c>
      <c r="J150" t="s">
        <v>17</v>
      </c>
      <c r="K150" t="s">
        <v>17</v>
      </c>
      <c r="L150" s="4" t="s">
        <v>17</v>
      </c>
    </row>
    <row r="151" spans="1:12" x14ac:dyDescent="0.25">
      <c r="A151" t="s">
        <v>179</v>
      </c>
      <c r="B151" t="s">
        <v>25</v>
      </c>
      <c r="C151" t="s">
        <v>19</v>
      </c>
      <c r="D151">
        <v>4</v>
      </c>
      <c r="E151" t="s">
        <v>23</v>
      </c>
      <c r="F151" t="s">
        <v>16</v>
      </c>
      <c r="G151" t="s">
        <v>17</v>
      </c>
      <c r="H151" t="s">
        <v>17</v>
      </c>
      <c r="I151" t="s">
        <v>17</v>
      </c>
      <c r="J151" t="s">
        <v>17</v>
      </c>
      <c r="K151" t="s">
        <v>17</v>
      </c>
      <c r="L151" s="4" t="s">
        <v>17</v>
      </c>
    </row>
    <row r="152" spans="1:12" x14ac:dyDescent="0.25">
      <c r="A152" t="s">
        <v>180</v>
      </c>
      <c r="B152" t="s">
        <v>22</v>
      </c>
      <c r="C152" t="s">
        <v>29</v>
      </c>
      <c r="D152">
        <v>4</v>
      </c>
      <c r="E152" t="s">
        <v>27</v>
      </c>
      <c r="F152" t="s">
        <v>16</v>
      </c>
      <c r="G152" t="s">
        <v>16</v>
      </c>
      <c r="H152" t="s">
        <v>16</v>
      </c>
      <c r="I152" t="s">
        <v>17</v>
      </c>
      <c r="J152" t="s">
        <v>17</v>
      </c>
      <c r="K152" t="s">
        <v>17</v>
      </c>
      <c r="L152" s="4" t="s">
        <v>17</v>
      </c>
    </row>
    <row r="153" spans="1:12" x14ac:dyDescent="0.25">
      <c r="A153" t="s">
        <v>181</v>
      </c>
      <c r="B153" t="s">
        <v>25</v>
      </c>
      <c r="C153" t="s">
        <v>29</v>
      </c>
      <c r="D153">
        <v>1</v>
      </c>
      <c r="E153" t="s">
        <v>23</v>
      </c>
      <c r="F153" t="s">
        <v>16</v>
      </c>
      <c r="G153" t="s">
        <v>17</v>
      </c>
      <c r="H153" t="s">
        <v>17</v>
      </c>
      <c r="I153" t="s">
        <v>17</v>
      </c>
      <c r="J153" t="s">
        <v>17</v>
      </c>
      <c r="K153" t="s">
        <v>17</v>
      </c>
      <c r="L153" s="4" t="s">
        <v>17</v>
      </c>
    </row>
    <row r="154" spans="1:12" x14ac:dyDescent="0.25">
      <c r="A154" t="s">
        <v>182</v>
      </c>
      <c r="B154" t="s">
        <v>22</v>
      </c>
      <c r="C154" t="s">
        <v>29</v>
      </c>
      <c r="D154">
        <v>0</v>
      </c>
      <c r="E154" t="s">
        <v>20</v>
      </c>
      <c r="F154" t="s">
        <v>16</v>
      </c>
      <c r="G154" t="s">
        <v>16</v>
      </c>
      <c r="H154" t="s">
        <v>17</v>
      </c>
      <c r="I154" t="s">
        <v>17</v>
      </c>
      <c r="J154" t="s">
        <v>17</v>
      </c>
      <c r="K154" t="s">
        <v>17</v>
      </c>
      <c r="L154" s="4" t="s">
        <v>17</v>
      </c>
    </row>
    <row r="155" spans="1:12" x14ac:dyDescent="0.25">
      <c r="A155" t="s">
        <v>183</v>
      </c>
      <c r="B155" t="s">
        <v>22</v>
      </c>
      <c r="C155" t="s">
        <v>36</v>
      </c>
      <c r="D155">
        <v>1</v>
      </c>
      <c r="E155" t="s">
        <v>15</v>
      </c>
      <c r="F155" t="s">
        <v>17</v>
      </c>
      <c r="G155" t="s">
        <v>17</v>
      </c>
      <c r="H155" t="s">
        <v>17</v>
      </c>
      <c r="I155" t="s">
        <v>17</v>
      </c>
      <c r="J155" t="s">
        <v>17</v>
      </c>
      <c r="K155" t="s">
        <v>17</v>
      </c>
      <c r="L155" s="4" t="s">
        <v>17</v>
      </c>
    </row>
    <row r="156" spans="1:12" x14ac:dyDescent="0.25">
      <c r="A156" t="s">
        <v>184</v>
      </c>
      <c r="B156" t="s">
        <v>25</v>
      </c>
      <c r="C156" t="s">
        <v>36</v>
      </c>
      <c r="D156">
        <v>4</v>
      </c>
      <c r="E156" t="s">
        <v>27</v>
      </c>
      <c r="F156" t="s">
        <v>17</v>
      </c>
      <c r="G156" t="s">
        <v>17</v>
      </c>
      <c r="H156" t="s">
        <v>17</v>
      </c>
      <c r="I156" t="s">
        <v>17</v>
      </c>
      <c r="J156" t="s">
        <v>17</v>
      </c>
      <c r="K156" t="s">
        <v>17</v>
      </c>
      <c r="L156" s="4" t="s">
        <v>17</v>
      </c>
    </row>
    <row r="157" spans="1:12" x14ac:dyDescent="0.25">
      <c r="A157" t="s">
        <v>185</v>
      </c>
      <c r="B157" t="s">
        <v>22</v>
      </c>
      <c r="C157" t="s">
        <v>29</v>
      </c>
      <c r="D157">
        <v>3</v>
      </c>
      <c r="E157" t="s">
        <v>27</v>
      </c>
      <c r="F157" t="s">
        <v>17</v>
      </c>
      <c r="G157" t="s">
        <v>17</v>
      </c>
      <c r="H157" t="s">
        <v>17</v>
      </c>
      <c r="I157" t="s">
        <v>17</v>
      </c>
      <c r="J157" t="s">
        <v>17</v>
      </c>
      <c r="K157" t="s">
        <v>17</v>
      </c>
      <c r="L157" s="4" t="s">
        <v>17</v>
      </c>
    </row>
    <row r="158" spans="1:12" x14ac:dyDescent="0.25">
      <c r="A158" t="s">
        <v>186</v>
      </c>
      <c r="B158" t="s">
        <v>22</v>
      </c>
      <c r="C158" t="s">
        <v>14</v>
      </c>
      <c r="D158">
        <v>0</v>
      </c>
      <c r="E158" t="s">
        <v>15</v>
      </c>
      <c r="F158" t="s">
        <v>17</v>
      </c>
      <c r="G158" t="s">
        <v>17</v>
      </c>
      <c r="H158" t="s">
        <v>17</v>
      </c>
      <c r="I158" t="s">
        <v>17</v>
      </c>
      <c r="J158" t="s">
        <v>17</v>
      </c>
      <c r="K158" t="s">
        <v>17</v>
      </c>
      <c r="L158" s="4" t="s">
        <v>17</v>
      </c>
    </row>
    <row r="159" spans="1:12" x14ac:dyDescent="0.25">
      <c r="A159" t="s">
        <v>187</v>
      </c>
      <c r="B159" t="s">
        <v>22</v>
      </c>
      <c r="C159" t="s">
        <v>29</v>
      </c>
      <c r="D159">
        <v>5</v>
      </c>
      <c r="E159" t="s">
        <v>30</v>
      </c>
      <c r="F159" t="s">
        <v>17</v>
      </c>
      <c r="G159" t="s">
        <v>17</v>
      </c>
      <c r="H159" t="s">
        <v>17</v>
      </c>
      <c r="I159" t="s">
        <v>17</v>
      </c>
      <c r="J159" t="s">
        <v>17</v>
      </c>
      <c r="K159" t="s">
        <v>17</v>
      </c>
      <c r="L159" s="4" t="s">
        <v>17</v>
      </c>
    </row>
    <row r="160" spans="1:12" x14ac:dyDescent="0.25">
      <c r="A160" t="s">
        <v>188</v>
      </c>
      <c r="B160" t="s">
        <v>25</v>
      </c>
      <c r="C160" t="s">
        <v>36</v>
      </c>
      <c r="D160">
        <v>6</v>
      </c>
      <c r="E160" t="s">
        <v>30</v>
      </c>
      <c r="F160" t="s">
        <v>16</v>
      </c>
      <c r="G160" t="s">
        <v>16</v>
      </c>
      <c r="H160" t="s">
        <v>16</v>
      </c>
      <c r="I160" t="s">
        <v>17</v>
      </c>
      <c r="J160" t="s">
        <v>17</v>
      </c>
      <c r="K160" t="s">
        <v>17</v>
      </c>
      <c r="L160" s="4" t="s">
        <v>17</v>
      </c>
    </row>
    <row r="161" spans="1:12" x14ac:dyDescent="0.25">
      <c r="A161" t="s">
        <v>189</v>
      </c>
      <c r="B161" t="s">
        <v>13</v>
      </c>
      <c r="C161" t="s">
        <v>33</v>
      </c>
      <c r="D161">
        <v>6</v>
      </c>
      <c r="E161" t="s">
        <v>23</v>
      </c>
      <c r="F161" t="s">
        <v>17</v>
      </c>
      <c r="G161" t="s">
        <v>17</v>
      </c>
      <c r="H161" t="s">
        <v>17</v>
      </c>
      <c r="I161" t="s">
        <v>17</v>
      </c>
      <c r="J161" t="s">
        <v>17</v>
      </c>
      <c r="K161" t="s">
        <v>17</v>
      </c>
      <c r="L161" s="4" t="s">
        <v>17</v>
      </c>
    </row>
    <row r="162" spans="1:12" x14ac:dyDescent="0.25">
      <c r="A162" t="s">
        <v>190</v>
      </c>
      <c r="B162" t="s">
        <v>22</v>
      </c>
      <c r="C162" t="s">
        <v>14</v>
      </c>
      <c r="D162">
        <v>0</v>
      </c>
      <c r="E162" t="s">
        <v>20</v>
      </c>
      <c r="F162" t="s">
        <v>17</v>
      </c>
      <c r="G162" t="s">
        <v>17</v>
      </c>
      <c r="H162" t="s">
        <v>17</v>
      </c>
      <c r="I162" t="s">
        <v>17</v>
      </c>
      <c r="J162" t="s">
        <v>17</v>
      </c>
      <c r="K162" t="s">
        <v>17</v>
      </c>
      <c r="L162" s="4" t="s">
        <v>17</v>
      </c>
    </row>
    <row r="163" spans="1:12" x14ac:dyDescent="0.25">
      <c r="A163" t="s">
        <v>191</v>
      </c>
      <c r="B163" t="s">
        <v>32</v>
      </c>
      <c r="C163" t="s">
        <v>19</v>
      </c>
      <c r="D163">
        <v>1</v>
      </c>
      <c r="E163" t="s">
        <v>23</v>
      </c>
      <c r="F163" t="s">
        <v>16</v>
      </c>
      <c r="G163" t="s">
        <v>17</v>
      </c>
      <c r="H163" t="s">
        <v>17</v>
      </c>
      <c r="I163" t="s">
        <v>17</v>
      </c>
      <c r="J163" t="s">
        <v>17</v>
      </c>
      <c r="K163" t="s">
        <v>17</v>
      </c>
      <c r="L163" s="4" t="s">
        <v>17</v>
      </c>
    </row>
    <row r="164" spans="1:12" x14ac:dyDescent="0.25">
      <c r="A164" t="s">
        <v>192</v>
      </c>
      <c r="B164" t="s">
        <v>50</v>
      </c>
      <c r="C164" t="s">
        <v>36</v>
      </c>
      <c r="D164">
        <v>3</v>
      </c>
      <c r="E164" t="s">
        <v>40</v>
      </c>
      <c r="F164" t="s">
        <v>16</v>
      </c>
      <c r="G164" t="s">
        <v>17</v>
      </c>
      <c r="H164" t="s">
        <v>17</v>
      </c>
      <c r="I164" t="s">
        <v>17</v>
      </c>
      <c r="J164" t="s">
        <v>17</v>
      </c>
      <c r="K164" t="s">
        <v>17</v>
      </c>
      <c r="L164" s="4" t="s">
        <v>17</v>
      </c>
    </row>
    <row r="165" spans="1:12" x14ac:dyDescent="0.25">
      <c r="A165" t="s">
        <v>193</v>
      </c>
      <c r="B165" t="s">
        <v>22</v>
      </c>
      <c r="C165" t="s">
        <v>33</v>
      </c>
      <c r="D165">
        <v>0</v>
      </c>
      <c r="E165" t="s">
        <v>15</v>
      </c>
      <c r="F165" t="s">
        <v>17</v>
      </c>
      <c r="G165" t="s">
        <v>17</v>
      </c>
      <c r="H165" t="s">
        <v>17</v>
      </c>
      <c r="I165" t="s">
        <v>17</v>
      </c>
      <c r="J165" t="s">
        <v>17</v>
      </c>
      <c r="K165" t="s">
        <v>17</v>
      </c>
      <c r="L165" s="4" t="s">
        <v>17</v>
      </c>
    </row>
    <row r="166" spans="1:12" x14ac:dyDescent="0.25">
      <c r="A166" t="s">
        <v>194</v>
      </c>
      <c r="B166" t="s">
        <v>22</v>
      </c>
      <c r="C166" t="s">
        <v>33</v>
      </c>
      <c r="D166">
        <v>5</v>
      </c>
      <c r="E166" t="s">
        <v>23</v>
      </c>
      <c r="F166" t="s">
        <v>16</v>
      </c>
      <c r="G166" t="s">
        <v>16</v>
      </c>
      <c r="H166" t="s">
        <v>17</v>
      </c>
      <c r="I166" t="s">
        <v>17</v>
      </c>
      <c r="J166" t="s">
        <v>17</v>
      </c>
      <c r="K166" t="s">
        <v>17</v>
      </c>
      <c r="L166" s="4" t="s">
        <v>17</v>
      </c>
    </row>
    <row r="167" spans="1:12" x14ac:dyDescent="0.25">
      <c r="A167" t="s">
        <v>195</v>
      </c>
      <c r="B167" t="s">
        <v>13</v>
      </c>
      <c r="C167" t="s">
        <v>19</v>
      </c>
      <c r="D167">
        <v>5</v>
      </c>
      <c r="E167" t="s">
        <v>40</v>
      </c>
      <c r="F167" t="s">
        <v>17</v>
      </c>
      <c r="G167" t="s">
        <v>17</v>
      </c>
      <c r="H167" t="s">
        <v>17</v>
      </c>
      <c r="I167" t="s">
        <v>17</v>
      </c>
      <c r="J167" t="s">
        <v>17</v>
      </c>
      <c r="K167" t="s">
        <v>17</v>
      </c>
      <c r="L167" s="4" t="s">
        <v>17</v>
      </c>
    </row>
    <row r="168" spans="1:12" x14ac:dyDescent="0.25">
      <c r="A168" t="s">
        <v>196</v>
      </c>
      <c r="B168" t="s">
        <v>13</v>
      </c>
      <c r="C168" t="s">
        <v>19</v>
      </c>
      <c r="D168">
        <v>2</v>
      </c>
      <c r="E168" t="s">
        <v>40</v>
      </c>
      <c r="F168" t="s">
        <v>16</v>
      </c>
      <c r="G168" t="s">
        <v>16</v>
      </c>
      <c r="H168" t="s">
        <v>16</v>
      </c>
      <c r="I168" t="s">
        <v>16</v>
      </c>
      <c r="J168" t="s">
        <v>16</v>
      </c>
      <c r="K168" t="s">
        <v>17</v>
      </c>
      <c r="L168" s="4" t="s">
        <v>17</v>
      </c>
    </row>
    <row r="169" spans="1:12" x14ac:dyDescent="0.25">
      <c r="A169" t="s">
        <v>197</v>
      </c>
      <c r="B169" t="s">
        <v>32</v>
      </c>
      <c r="C169" t="s">
        <v>19</v>
      </c>
      <c r="D169">
        <v>5</v>
      </c>
      <c r="E169" t="s">
        <v>27</v>
      </c>
      <c r="F169" t="s">
        <v>16</v>
      </c>
      <c r="G169" t="s">
        <v>16</v>
      </c>
      <c r="H169" t="s">
        <v>17</v>
      </c>
      <c r="I169" t="s">
        <v>17</v>
      </c>
      <c r="J169" t="s">
        <v>17</v>
      </c>
      <c r="K169" t="s">
        <v>17</v>
      </c>
      <c r="L169" s="4" t="s">
        <v>17</v>
      </c>
    </row>
    <row r="170" spans="1:12" x14ac:dyDescent="0.25">
      <c r="A170" t="s">
        <v>198</v>
      </c>
      <c r="B170" t="s">
        <v>50</v>
      </c>
      <c r="C170" t="s">
        <v>29</v>
      </c>
      <c r="D170">
        <v>0</v>
      </c>
      <c r="E170" t="s">
        <v>23</v>
      </c>
      <c r="F170" t="s">
        <v>16</v>
      </c>
      <c r="G170" t="s">
        <v>17</v>
      </c>
      <c r="H170" t="s">
        <v>17</v>
      </c>
      <c r="I170" t="s">
        <v>17</v>
      </c>
      <c r="J170" t="s">
        <v>17</v>
      </c>
      <c r="K170" t="s">
        <v>17</v>
      </c>
      <c r="L170" s="4" t="s">
        <v>17</v>
      </c>
    </row>
    <row r="171" spans="1:12" x14ac:dyDescent="0.25">
      <c r="A171" t="s">
        <v>199</v>
      </c>
      <c r="B171" t="s">
        <v>50</v>
      </c>
      <c r="C171" t="s">
        <v>14</v>
      </c>
      <c r="D171">
        <v>2</v>
      </c>
      <c r="E171" t="s">
        <v>15</v>
      </c>
      <c r="F171" t="s">
        <v>17</v>
      </c>
      <c r="G171" t="s">
        <v>17</v>
      </c>
      <c r="H171" t="s">
        <v>17</v>
      </c>
      <c r="I171" t="s">
        <v>17</v>
      </c>
      <c r="J171" t="s">
        <v>17</v>
      </c>
      <c r="K171" t="s">
        <v>17</v>
      </c>
      <c r="L171" s="4" t="s">
        <v>17</v>
      </c>
    </row>
    <row r="172" spans="1:12" x14ac:dyDescent="0.25">
      <c r="A172" t="s">
        <v>200</v>
      </c>
      <c r="B172" t="s">
        <v>25</v>
      </c>
      <c r="C172" t="s">
        <v>14</v>
      </c>
      <c r="D172">
        <v>6</v>
      </c>
      <c r="E172" t="s">
        <v>20</v>
      </c>
      <c r="F172" t="s">
        <v>16</v>
      </c>
      <c r="G172" t="s">
        <v>16</v>
      </c>
      <c r="H172" t="s">
        <v>17</v>
      </c>
      <c r="I172" t="s">
        <v>17</v>
      </c>
      <c r="J172" t="s">
        <v>17</v>
      </c>
      <c r="K172" t="s">
        <v>17</v>
      </c>
      <c r="L172" s="4" t="s">
        <v>17</v>
      </c>
    </row>
    <row r="173" spans="1:12" x14ac:dyDescent="0.25">
      <c r="A173" t="s">
        <v>201</v>
      </c>
      <c r="B173" t="s">
        <v>22</v>
      </c>
      <c r="C173" t="s">
        <v>14</v>
      </c>
      <c r="D173">
        <v>4</v>
      </c>
      <c r="E173" t="s">
        <v>40</v>
      </c>
      <c r="F173" t="s">
        <v>16</v>
      </c>
      <c r="G173" t="s">
        <v>17</v>
      </c>
      <c r="H173" t="s">
        <v>17</v>
      </c>
      <c r="I173" t="s">
        <v>17</v>
      </c>
      <c r="J173" t="s">
        <v>17</v>
      </c>
      <c r="K173" t="s">
        <v>17</v>
      </c>
      <c r="L173" s="4" t="s">
        <v>17</v>
      </c>
    </row>
    <row r="174" spans="1:12" x14ac:dyDescent="0.25">
      <c r="A174" t="s">
        <v>202</v>
      </c>
      <c r="B174" t="s">
        <v>50</v>
      </c>
      <c r="C174" t="s">
        <v>33</v>
      </c>
      <c r="D174">
        <v>6</v>
      </c>
      <c r="E174" t="s">
        <v>15</v>
      </c>
      <c r="F174" t="s">
        <v>16</v>
      </c>
      <c r="G174" t="s">
        <v>17</v>
      </c>
      <c r="H174" t="s">
        <v>17</v>
      </c>
      <c r="I174" t="s">
        <v>17</v>
      </c>
      <c r="J174" t="s">
        <v>17</v>
      </c>
      <c r="K174" t="s">
        <v>17</v>
      </c>
      <c r="L174" s="4" t="s">
        <v>17</v>
      </c>
    </row>
    <row r="175" spans="1:12" x14ac:dyDescent="0.25">
      <c r="A175" t="s">
        <v>203</v>
      </c>
      <c r="B175" t="s">
        <v>22</v>
      </c>
      <c r="C175" t="s">
        <v>36</v>
      </c>
      <c r="D175">
        <v>6</v>
      </c>
      <c r="E175" t="s">
        <v>15</v>
      </c>
      <c r="F175" t="s">
        <v>16</v>
      </c>
      <c r="G175" t="s">
        <v>16</v>
      </c>
      <c r="H175" t="s">
        <v>16</v>
      </c>
      <c r="I175" t="s">
        <v>16</v>
      </c>
      <c r="J175" t="s">
        <v>16</v>
      </c>
      <c r="K175" t="s">
        <v>16</v>
      </c>
      <c r="L175" s="4" t="s">
        <v>16</v>
      </c>
    </row>
    <row r="176" spans="1:12" x14ac:dyDescent="0.25">
      <c r="A176" t="s">
        <v>204</v>
      </c>
      <c r="B176" t="s">
        <v>32</v>
      </c>
      <c r="C176" t="s">
        <v>36</v>
      </c>
      <c r="D176">
        <v>4</v>
      </c>
      <c r="E176" t="s">
        <v>40</v>
      </c>
      <c r="F176" t="s">
        <v>16</v>
      </c>
      <c r="G176" t="s">
        <v>16</v>
      </c>
      <c r="H176" t="s">
        <v>17</v>
      </c>
      <c r="I176" t="s">
        <v>17</v>
      </c>
      <c r="J176" t="s">
        <v>17</v>
      </c>
      <c r="K176" t="s">
        <v>17</v>
      </c>
      <c r="L176" s="4" t="s">
        <v>17</v>
      </c>
    </row>
    <row r="177" spans="1:12" x14ac:dyDescent="0.25">
      <c r="A177" t="s">
        <v>205</v>
      </c>
      <c r="B177" t="s">
        <v>13</v>
      </c>
      <c r="C177" t="s">
        <v>19</v>
      </c>
      <c r="D177">
        <v>5</v>
      </c>
      <c r="E177" t="s">
        <v>20</v>
      </c>
      <c r="F177" t="s">
        <v>16</v>
      </c>
      <c r="G177" t="s">
        <v>17</v>
      </c>
      <c r="H177" t="s">
        <v>17</v>
      </c>
      <c r="I177" t="s">
        <v>17</v>
      </c>
      <c r="J177" t="s">
        <v>17</v>
      </c>
      <c r="K177" t="s">
        <v>17</v>
      </c>
      <c r="L177" s="4" t="s">
        <v>17</v>
      </c>
    </row>
    <row r="178" spans="1:12" x14ac:dyDescent="0.25">
      <c r="A178" t="s">
        <v>206</v>
      </c>
      <c r="B178" t="s">
        <v>22</v>
      </c>
      <c r="C178" t="s">
        <v>19</v>
      </c>
      <c r="D178">
        <v>6</v>
      </c>
      <c r="E178" t="s">
        <v>30</v>
      </c>
      <c r="F178" t="s">
        <v>16</v>
      </c>
      <c r="G178" t="s">
        <v>16</v>
      </c>
      <c r="H178" t="s">
        <v>17</v>
      </c>
      <c r="I178" t="s">
        <v>17</v>
      </c>
      <c r="J178" t="s">
        <v>17</v>
      </c>
      <c r="K178" t="s">
        <v>17</v>
      </c>
      <c r="L178" s="4" t="s">
        <v>17</v>
      </c>
    </row>
    <row r="179" spans="1:12" x14ac:dyDescent="0.25">
      <c r="A179" t="s">
        <v>207</v>
      </c>
      <c r="B179" t="s">
        <v>32</v>
      </c>
      <c r="C179" t="s">
        <v>19</v>
      </c>
      <c r="D179">
        <v>2</v>
      </c>
      <c r="E179" t="s">
        <v>20</v>
      </c>
      <c r="F179" t="s">
        <v>16</v>
      </c>
      <c r="G179" t="s">
        <v>16</v>
      </c>
      <c r="H179" t="s">
        <v>17</v>
      </c>
      <c r="I179" t="s">
        <v>17</v>
      </c>
      <c r="J179" t="s">
        <v>17</v>
      </c>
      <c r="K179" t="s">
        <v>17</v>
      </c>
      <c r="L179" s="4" t="s">
        <v>17</v>
      </c>
    </row>
    <row r="180" spans="1:12" x14ac:dyDescent="0.25">
      <c r="A180" t="s">
        <v>208</v>
      </c>
      <c r="B180" t="s">
        <v>32</v>
      </c>
      <c r="C180" t="s">
        <v>29</v>
      </c>
      <c r="D180">
        <v>3</v>
      </c>
      <c r="E180" t="s">
        <v>20</v>
      </c>
      <c r="F180" t="s">
        <v>16</v>
      </c>
      <c r="G180" t="s">
        <v>16</v>
      </c>
      <c r="H180" t="s">
        <v>17</v>
      </c>
      <c r="I180" t="s">
        <v>17</v>
      </c>
      <c r="J180" t="s">
        <v>17</v>
      </c>
      <c r="K180" t="s">
        <v>17</v>
      </c>
      <c r="L180" s="4" t="s">
        <v>17</v>
      </c>
    </row>
    <row r="181" spans="1:12" x14ac:dyDescent="0.25">
      <c r="A181" t="s">
        <v>209</v>
      </c>
      <c r="B181" t="s">
        <v>22</v>
      </c>
      <c r="C181" t="s">
        <v>29</v>
      </c>
      <c r="D181">
        <v>6</v>
      </c>
      <c r="E181" t="s">
        <v>23</v>
      </c>
      <c r="F181" t="s">
        <v>16</v>
      </c>
      <c r="G181" t="s">
        <v>17</v>
      </c>
      <c r="H181" t="s">
        <v>17</v>
      </c>
      <c r="I181" t="s">
        <v>17</v>
      </c>
      <c r="J181" t="s">
        <v>17</v>
      </c>
      <c r="K181" t="s">
        <v>17</v>
      </c>
      <c r="L181" s="4" t="s">
        <v>17</v>
      </c>
    </row>
    <row r="182" spans="1:12" x14ac:dyDescent="0.25">
      <c r="A182" t="s">
        <v>210</v>
      </c>
      <c r="B182" t="s">
        <v>13</v>
      </c>
      <c r="C182" t="s">
        <v>14</v>
      </c>
      <c r="D182">
        <v>3</v>
      </c>
      <c r="E182" t="s">
        <v>15</v>
      </c>
      <c r="F182" t="s">
        <v>16</v>
      </c>
      <c r="G182" t="s">
        <v>17</v>
      </c>
      <c r="H182" t="s">
        <v>17</v>
      </c>
      <c r="I182" t="s">
        <v>17</v>
      </c>
      <c r="J182" t="s">
        <v>17</v>
      </c>
      <c r="K182" t="s">
        <v>17</v>
      </c>
      <c r="L182" s="4" t="s">
        <v>17</v>
      </c>
    </row>
    <row r="183" spans="1:12" x14ac:dyDescent="0.25">
      <c r="A183" t="s">
        <v>211</v>
      </c>
      <c r="B183" t="s">
        <v>32</v>
      </c>
      <c r="C183" t="s">
        <v>29</v>
      </c>
      <c r="D183">
        <v>2</v>
      </c>
      <c r="E183" t="s">
        <v>30</v>
      </c>
      <c r="F183" t="s">
        <v>16</v>
      </c>
      <c r="G183" t="s">
        <v>16</v>
      </c>
      <c r="H183" t="s">
        <v>17</v>
      </c>
      <c r="I183" t="s">
        <v>17</v>
      </c>
      <c r="J183" t="s">
        <v>17</v>
      </c>
      <c r="K183" t="s">
        <v>17</v>
      </c>
      <c r="L183" s="4" t="s">
        <v>17</v>
      </c>
    </row>
    <row r="184" spans="1:12" x14ac:dyDescent="0.25">
      <c r="A184" t="s">
        <v>212</v>
      </c>
      <c r="B184" t="s">
        <v>13</v>
      </c>
      <c r="C184" t="s">
        <v>33</v>
      </c>
      <c r="D184">
        <v>0</v>
      </c>
      <c r="E184" t="s">
        <v>40</v>
      </c>
      <c r="F184" t="s">
        <v>16</v>
      </c>
      <c r="G184" t="s">
        <v>16</v>
      </c>
      <c r="H184" t="s">
        <v>17</v>
      </c>
      <c r="I184" t="s">
        <v>17</v>
      </c>
      <c r="J184" t="s">
        <v>17</v>
      </c>
      <c r="K184" t="s">
        <v>17</v>
      </c>
      <c r="L184" s="4" t="s">
        <v>17</v>
      </c>
    </row>
    <row r="185" spans="1:12" x14ac:dyDescent="0.25">
      <c r="A185" t="s">
        <v>213</v>
      </c>
      <c r="B185" t="s">
        <v>25</v>
      </c>
      <c r="C185" t="s">
        <v>33</v>
      </c>
      <c r="D185">
        <v>4</v>
      </c>
      <c r="E185" t="s">
        <v>20</v>
      </c>
      <c r="F185" t="s">
        <v>16</v>
      </c>
      <c r="G185" t="s">
        <v>17</v>
      </c>
      <c r="H185" t="s">
        <v>17</v>
      </c>
      <c r="I185" t="s">
        <v>17</v>
      </c>
      <c r="J185" t="s">
        <v>17</v>
      </c>
      <c r="K185" t="s">
        <v>17</v>
      </c>
      <c r="L185" s="4" t="s">
        <v>17</v>
      </c>
    </row>
    <row r="186" spans="1:12" x14ac:dyDescent="0.25">
      <c r="A186" t="s">
        <v>214</v>
      </c>
      <c r="B186" t="s">
        <v>32</v>
      </c>
      <c r="C186" t="s">
        <v>19</v>
      </c>
      <c r="D186">
        <v>6</v>
      </c>
      <c r="E186" t="s">
        <v>30</v>
      </c>
      <c r="F186" t="s">
        <v>17</v>
      </c>
      <c r="G186" t="s">
        <v>17</v>
      </c>
      <c r="H186" t="s">
        <v>17</v>
      </c>
      <c r="I186" t="s">
        <v>17</v>
      </c>
      <c r="J186" t="s">
        <v>17</v>
      </c>
      <c r="K186" t="s">
        <v>17</v>
      </c>
      <c r="L186" s="4" t="s">
        <v>17</v>
      </c>
    </row>
    <row r="187" spans="1:12" x14ac:dyDescent="0.25">
      <c r="A187" t="s">
        <v>215</v>
      </c>
      <c r="B187" t="s">
        <v>13</v>
      </c>
      <c r="C187" t="s">
        <v>19</v>
      </c>
      <c r="D187">
        <v>4</v>
      </c>
      <c r="E187" t="s">
        <v>27</v>
      </c>
      <c r="F187" t="s">
        <v>16</v>
      </c>
      <c r="G187" t="s">
        <v>17</v>
      </c>
      <c r="H187" t="s">
        <v>17</v>
      </c>
      <c r="I187" t="s">
        <v>17</v>
      </c>
      <c r="J187" t="s">
        <v>17</v>
      </c>
      <c r="K187" t="s">
        <v>17</v>
      </c>
      <c r="L187" s="4" t="s">
        <v>17</v>
      </c>
    </row>
    <row r="188" spans="1:12" x14ac:dyDescent="0.25">
      <c r="A188" t="s">
        <v>216</v>
      </c>
      <c r="B188" t="s">
        <v>22</v>
      </c>
      <c r="C188" t="s">
        <v>29</v>
      </c>
      <c r="D188">
        <v>1</v>
      </c>
      <c r="E188" t="s">
        <v>40</v>
      </c>
      <c r="F188" t="s">
        <v>16</v>
      </c>
      <c r="G188" t="s">
        <v>17</v>
      </c>
      <c r="H188" t="s">
        <v>17</v>
      </c>
      <c r="I188" t="s">
        <v>17</v>
      </c>
      <c r="J188" t="s">
        <v>17</v>
      </c>
      <c r="K188" t="s">
        <v>17</v>
      </c>
      <c r="L188" s="4" t="s">
        <v>17</v>
      </c>
    </row>
    <row r="189" spans="1:12" x14ac:dyDescent="0.25">
      <c r="A189" t="s">
        <v>217</v>
      </c>
      <c r="B189" t="s">
        <v>22</v>
      </c>
      <c r="C189" t="s">
        <v>36</v>
      </c>
      <c r="D189">
        <v>1</v>
      </c>
      <c r="E189" t="s">
        <v>30</v>
      </c>
      <c r="F189" t="s">
        <v>17</v>
      </c>
      <c r="G189" t="s">
        <v>17</v>
      </c>
      <c r="H189" t="s">
        <v>17</v>
      </c>
      <c r="I189" t="s">
        <v>17</v>
      </c>
      <c r="J189" t="s">
        <v>17</v>
      </c>
      <c r="K189" t="s">
        <v>17</v>
      </c>
      <c r="L189" s="4" t="s">
        <v>17</v>
      </c>
    </row>
    <row r="190" spans="1:12" x14ac:dyDescent="0.25">
      <c r="A190" t="s">
        <v>218</v>
      </c>
      <c r="B190" t="s">
        <v>50</v>
      </c>
      <c r="C190" t="s">
        <v>29</v>
      </c>
      <c r="D190">
        <v>4</v>
      </c>
      <c r="E190" t="s">
        <v>23</v>
      </c>
      <c r="F190" t="s">
        <v>16</v>
      </c>
      <c r="G190" t="s">
        <v>16</v>
      </c>
      <c r="H190" t="s">
        <v>17</v>
      </c>
      <c r="I190" t="s">
        <v>17</v>
      </c>
      <c r="J190" t="s">
        <v>17</v>
      </c>
      <c r="K190" t="s">
        <v>17</v>
      </c>
      <c r="L190" s="4" t="s">
        <v>17</v>
      </c>
    </row>
    <row r="191" spans="1:12" x14ac:dyDescent="0.25">
      <c r="A191" t="s">
        <v>219</v>
      </c>
      <c r="B191" t="s">
        <v>25</v>
      </c>
      <c r="C191" t="s">
        <v>36</v>
      </c>
      <c r="D191">
        <v>1</v>
      </c>
      <c r="E191" t="s">
        <v>27</v>
      </c>
      <c r="F191" t="s">
        <v>16</v>
      </c>
      <c r="G191" t="s">
        <v>16</v>
      </c>
      <c r="H191" t="s">
        <v>16</v>
      </c>
      <c r="I191" t="s">
        <v>16</v>
      </c>
      <c r="J191" t="s">
        <v>16</v>
      </c>
      <c r="K191" t="s">
        <v>16</v>
      </c>
      <c r="L191" s="4" t="s">
        <v>16</v>
      </c>
    </row>
    <row r="192" spans="1:12" x14ac:dyDescent="0.25">
      <c r="A192" t="s">
        <v>220</v>
      </c>
      <c r="B192" t="s">
        <v>22</v>
      </c>
      <c r="C192" t="s">
        <v>33</v>
      </c>
      <c r="D192">
        <v>0</v>
      </c>
      <c r="E192" t="s">
        <v>40</v>
      </c>
      <c r="F192" t="s">
        <v>17</v>
      </c>
      <c r="G192" t="s">
        <v>17</v>
      </c>
      <c r="H192" t="s">
        <v>17</v>
      </c>
      <c r="I192" t="s">
        <v>17</v>
      </c>
      <c r="J192" t="s">
        <v>17</v>
      </c>
      <c r="K192" t="s">
        <v>17</v>
      </c>
      <c r="L192" s="4" t="s">
        <v>17</v>
      </c>
    </row>
    <row r="193" spans="1:12" x14ac:dyDescent="0.25">
      <c r="A193" t="s">
        <v>221</v>
      </c>
      <c r="B193" t="s">
        <v>22</v>
      </c>
      <c r="C193" t="s">
        <v>36</v>
      </c>
      <c r="D193">
        <v>2</v>
      </c>
      <c r="E193" t="s">
        <v>15</v>
      </c>
      <c r="F193" t="s">
        <v>16</v>
      </c>
      <c r="G193" t="s">
        <v>17</v>
      </c>
      <c r="H193" t="s">
        <v>17</v>
      </c>
      <c r="I193" t="s">
        <v>17</v>
      </c>
      <c r="J193" t="s">
        <v>17</v>
      </c>
      <c r="K193" t="s">
        <v>17</v>
      </c>
      <c r="L193" s="4" t="s">
        <v>17</v>
      </c>
    </row>
    <row r="194" spans="1:12" x14ac:dyDescent="0.25">
      <c r="A194" t="s">
        <v>222</v>
      </c>
      <c r="B194" t="s">
        <v>25</v>
      </c>
      <c r="C194" t="s">
        <v>33</v>
      </c>
      <c r="D194">
        <v>0</v>
      </c>
      <c r="E194" t="s">
        <v>40</v>
      </c>
      <c r="F194" t="s">
        <v>16</v>
      </c>
      <c r="G194" t="s">
        <v>17</v>
      </c>
      <c r="H194" t="s">
        <v>17</v>
      </c>
      <c r="I194" t="s">
        <v>17</v>
      </c>
      <c r="J194" t="s">
        <v>17</v>
      </c>
      <c r="K194" t="s">
        <v>17</v>
      </c>
      <c r="L194" s="4" t="s">
        <v>17</v>
      </c>
    </row>
    <row r="195" spans="1:12" x14ac:dyDescent="0.25">
      <c r="A195" t="s">
        <v>223</v>
      </c>
      <c r="B195" t="s">
        <v>22</v>
      </c>
      <c r="C195" t="s">
        <v>14</v>
      </c>
      <c r="D195">
        <v>3</v>
      </c>
      <c r="E195" t="s">
        <v>23</v>
      </c>
      <c r="F195" t="s">
        <v>16</v>
      </c>
      <c r="G195" t="s">
        <v>17</v>
      </c>
      <c r="H195" t="s">
        <v>17</v>
      </c>
      <c r="I195" t="s">
        <v>17</v>
      </c>
      <c r="J195" t="s">
        <v>17</v>
      </c>
      <c r="K195" t="s">
        <v>17</v>
      </c>
      <c r="L195" s="4" t="s">
        <v>17</v>
      </c>
    </row>
    <row r="196" spans="1:12" x14ac:dyDescent="0.25">
      <c r="A196" t="s">
        <v>224</v>
      </c>
      <c r="B196" t="s">
        <v>32</v>
      </c>
      <c r="C196" t="s">
        <v>14</v>
      </c>
      <c r="D196">
        <v>4</v>
      </c>
      <c r="E196" t="s">
        <v>40</v>
      </c>
      <c r="F196" t="s">
        <v>16</v>
      </c>
      <c r="G196" t="s">
        <v>16</v>
      </c>
      <c r="H196" t="s">
        <v>17</v>
      </c>
      <c r="I196" t="s">
        <v>17</v>
      </c>
      <c r="J196" t="s">
        <v>17</v>
      </c>
      <c r="K196" t="s">
        <v>17</v>
      </c>
      <c r="L196" s="4" t="s">
        <v>17</v>
      </c>
    </row>
    <row r="197" spans="1:12" x14ac:dyDescent="0.25">
      <c r="A197" t="s">
        <v>225</v>
      </c>
      <c r="B197" t="s">
        <v>32</v>
      </c>
      <c r="C197" t="s">
        <v>33</v>
      </c>
      <c r="D197">
        <v>2</v>
      </c>
      <c r="E197" t="s">
        <v>40</v>
      </c>
      <c r="F197" t="s">
        <v>16</v>
      </c>
      <c r="G197" t="s">
        <v>17</v>
      </c>
      <c r="H197" t="s">
        <v>17</v>
      </c>
      <c r="I197" t="s">
        <v>17</v>
      </c>
      <c r="J197" t="s">
        <v>17</v>
      </c>
      <c r="K197" t="s">
        <v>17</v>
      </c>
      <c r="L197" s="4" t="s">
        <v>17</v>
      </c>
    </row>
    <row r="198" spans="1:12" x14ac:dyDescent="0.25">
      <c r="A198" t="s">
        <v>226</v>
      </c>
      <c r="B198" t="s">
        <v>22</v>
      </c>
      <c r="C198" t="s">
        <v>14</v>
      </c>
      <c r="D198">
        <v>1</v>
      </c>
      <c r="E198" t="s">
        <v>15</v>
      </c>
      <c r="F198" t="s">
        <v>17</v>
      </c>
      <c r="G198" t="s">
        <v>17</v>
      </c>
      <c r="H198" t="s">
        <v>17</v>
      </c>
      <c r="I198" t="s">
        <v>17</v>
      </c>
      <c r="J198" t="s">
        <v>17</v>
      </c>
      <c r="K198" t="s">
        <v>17</v>
      </c>
      <c r="L198" s="4" t="s">
        <v>17</v>
      </c>
    </row>
    <row r="199" spans="1:12" x14ac:dyDescent="0.25">
      <c r="A199" t="s">
        <v>227</v>
      </c>
      <c r="B199" t="s">
        <v>22</v>
      </c>
      <c r="C199" t="s">
        <v>14</v>
      </c>
      <c r="D199">
        <v>3</v>
      </c>
      <c r="E199" t="s">
        <v>23</v>
      </c>
      <c r="F199" t="s">
        <v>16</v>
      </c>
      <c r="G199" t="s">
        <v>16</v>
      </c>
      <c r="H199" t="s">
        <v>16</v>
      </c>
      <c r="I199" t="s">
        <v>16</v>
      </c>
      <c r="J199" t="s">
        <v>16</v>
      </c>
      <c r="K199" t="s">
        <v>16</v>
      </c>
      <c r="L199" s="4" t="s">
        <v>16</v>
      </c>
    </row>
    <row r="200" spans="1:12" x14ac:dyDescent="0.25">
      <c r="A200" t="s">
        <v>228</v>
      </c>
      <c r="B200" t="s">
        <v>32</v>
      </c>
      <c r="C200" t="s">
        <v>29</v>
      </c>
      <c r="D200">
        <v>3</v>
      </c>
      <c r="E200" t="s">
        <v>40</v>
      </c>
      <c r="F200" t="s">
        <v>16</v>
      </c>
      <c r="G200" t="s">
        <v>16</v>
      </c>
      <c r="H200" t="s">
        <v>16</v>
      </c>
      <c r="I200" t="s">
        <v>16</v>
      </c>
      <c r="J200" t="s">
        <v>16</v>
      </c>
      <c r="K200" t="s">
        <v>16</v>
      </c>
      <c r="L200" s="4" t="s">
        <v>16</v>
      </c>
    </row>
    <row r="201" spans="1:12" x14ac:dyDescent="0.25">
      <c r="A201" t="s">
        <v>229</v>
      </c>
      <c r="B201" t="s">
        <v>32</v>
      </c>
      <c r="C201" t="s">
        <v>19</v>
      </c>
      <c r="D201">
        <v>1</v>
      </c>
      <c r="E201" t="s">
        <v>20</v>
      </c>
      <c r="F201" t="s">
        <v>16</v>
      </c>
      <c r="G201" t="s">
        <v>17</v>
      </c>
      <c r="H201" t="s">
        <v>17</v>
      </c>
      <c r="I201" t="s">
        <v>17</v>
      </c>
      <c r="J201" t="s">
        <v>17</v>
      </c>
      <c r="K201" t="s">
        <v>17</v>
      </c>
      <c r="L201" s="4" t="s">
        <v>17</v>
      </c>
    </row>
    <row r="202" spans="1:12" x14ac:dyDescent="0.25">
      <c r="A202" t="s">
        <v>230</v>
      </c>
      <c r="B202" t="s">
        <v>32</v>
      </c>
      <c r="C202" t="s">
        <v>36</v>
      </c>
      <c r="D202">
        <v>0</v>
      </c>
      <c r="E202" t="s">
        <v>15</v>
      </c>
      <c r="F202" t="s">
        <v>16</v>
      </c>
      <c r="G202" t="s">
        <v>16</v>
      </c>
      <c r="H202" t="s">
        <v>16</v>
      </c>
      <c r="I202" t="s">
        <v>17</v>
      </c>
      <c r="J202" t="s">
        <v>17</v>
      </c>
      <c r="K202" t="s">
        <v>17</v>
      </c>
      <c r="L202" s="4" t="s">
        <v>17</v>
      </c>
    </row>
    <row r="203" spans="1:12" x14ac:dyDescent="0.25">
      <c r="A203" t="s">
        <v>231</v>
      </c>
      <c r="B203" t="s">
        <v>13</v>
      </c>
      <c r="C203" t="s">
        <v>14</v>
      </c>
      <c r="D203">
        <v>6</v>
      </c>
      <c r="E203" t="s">
        <v>15</v>
      </c>
      <c r="F203" t="s">
        <v>16</v>
      </c>
      <c r="G203" t="s">
        <v>17</v>
      </c>
      <c r="H203" t="s">
        <v>17</v>
      </c>
      <c r="I203" t="s">
        <v>17</v>
      </c>
      <c r="J203" t="s">
        <v>17</v>
      </c>
      <c r="K203" t="s">
        <v>17</v>
      </c>
      <c r="L203" s="4" t="s">
        <v>17</v>
      </c>
    </row>
    <row r="204" spans="1:12" x14ac:dyDescent="0.25">
      <c r="A204" t="s">
        <v>232</v>
      </c>
      <c r="B204" t="s">
        <v>32</v>
      </c>
      <c r="C204" t="s">
        <v>14</v>
      </c>
      <c r="D204">
        <v>6</v>
      </c>
      <c r="E204" t="s">
        <v>27</v>
      </c>
      <c r="F204" t="s">
        <v>16</v>
      </c>
      <c r="G204" t="s">
        <v>17</v>
      </c>
      <c r="H204" t="s">
        <v>17</v>
      </c>
      <c r="I204" t="s">
        <v>17</v>
      </c>
      <c r="J204" t="s">
        <v>17</v>
      </c>
      <c r="K204" t="s">
        <v>17</v>
      </c>
      <c r="L204" s="4" t="s">
        <v>17</v>
      </c>
    </row>
    <row r="205" spans="1:12" x14ac:dyDescent="0.25">
      <c r="A205" t="s">
        <v>233</v>
      </c>
      <c r="B205" t="s">
        <v>13</v>
      </c>
      <c r="C205" t="s">
        <v>14</v>
      </c>
      <c r="D205">
        <v>0</v>
      </c>
      <c r="E205" t="s">
        <v>15</v>
      </c>
      <c r="F205" t="s">
        <v>16</v>
      </c>
      <c r="G205" t="s">
        <v>16</v>
      </c>
      <c r="H205" t="s">
        <v>16</v>
      </c>
      <c r="I205" t="s">
        <v>17</v>
      </c>
      <c r="J205" t="s">
        <v>17</v>
      </c>
      <c r="K205" t="s">
        <v>17</v>
      </c>
      <c r="L205" s="4" t="s">
        <v>17</v>
      </c>
    </row>
    <row r="206" spans="1:12" x14ac:dyDescent="0.25">
      <c r="A206" t="s">
        <v>234</v>
      </c>
      <c r="B206" t="s">
        <v>22</v>
      </c>
      <c r="C206" t="s">
        <v>19</v>
      </c>
      <c r="D206">
        <v>5</v>
      </c>
      <c r="E206" t="s">
        <v>30</v>
      </c>
      <c r="F206" t="s">
        <v>16</v>
      </c>
      <c r="G206" t="s">
        <v>17</v>
      </c>
      <c r="H206" t="s">
        <v>17</v>
      </c>
      <c r="I206" t="s">
        <v>17</v>
      </c>
      <c r="J206" t="s">
        <v>17</v>
      </c>
      <c r="K206" t="s">
        <v>17</v>
      </c>
      <c r="L206" s="4" t="s">
        <v>17</v>
      </c>
    </row>
    <row r="207" spans="1:12" x14ac:dyDescent="0.25">
      <c r="A207" t="s">
        <v>235</v>
      </c>
      <c r="B207" t="s">
        <v>32</v>
      </c>
      <c r="C207" t="s">
        <v>29</v>
      </c>
      <c r="D207">
        <v>4</v>
      </c>
      <c r="E207" t="s">
        <v>23</v>
      </c>
      <c r="F207" t="s">
        <v>16</v>
      </c>
      <c r="G207" t="s">
        <v>17</v>
      </c>
      <c r="H207" t="s">
        <v>17</v>
      </c>
      <c r="I207" t="s">
        <v>17</v>
      </c>
      <c r="J207" t="s">
        <v>17</v>
      </c>
      <c r="K207" t="s">
        <v>17</v>
      </c>
      <c r="L207" s="4" t="s">
        <v>17</v>
      </c>
    </row>
    <row r="208" spans="1:12" x14ac:dyDescent="0.25">
      <c r="A208" t="s">
        <v>236</v>
      </c>
      <c r="B208" t="s">
        <v>25</v>
      </c>
      <c r="C208" t="s">
        <v>33</v>
      </c>
      <c r="D208">
        <v>1</v>
      </c>
      <c r="E208" t="s">
        <v>30</v>
      </c>
      <c r="F208" t="s">
        <v>16</v>
      </c>
      <c r="G208" t="s">
        <v>16</v>
      </c>
      <c r="H208" t="s">
        <v>16</v>
      </c>
      <c r="I208" t="s">
        <v>16</v>
      </c>
      <c r="J208" t="s">
        <v>16</v>
      </c>
      <c r="K208" t="s">
        <v>16</v>
      </c>
      <c r="L208" s="4" t="s">
        <v>16</v>
      </c>
    </row>
    <row r="209" spans="1:12" x14ac:dyDescent="0.25">
      <c r="A209" t="s">
        <v>237</v>
      </c>
      <c r="B209" t="s">
        <v>32</v>
      </c>
      <c r="C209" t="s">
        <v>14</v>
      </c>
      <c r="D209">
        <v>6</v>
      </c>
      <c r="E209" t="s">
        <v>27</v>
      </c>
      <c r="F209" t="s">
        <v>16</v>
      </c>
      <c r="G209" t="s">
        <v>17</v>
      </c>
      <c r="H209" t="s">
        <v>17</v>
      </c>
      <c r="I209" t="s">
        <v>17</v>
      </c>
      <c r="J209" t="s">
        <v>17</v>
      </c>
      <c r="K209" t="s">
        <v>17</v>
      </c>
      <c r="L209" s="4" t="s">
        <v>17</v>
      </c>
    </row>
    <row r="210" spans="1:12" x14ac:dyDescent="0.25">
      <c r="A210" t="s">
        <v>238</v>
      </c>
      <c r="B210" t="s">
        <v>25</v>
      </c>
      <c r="C210" t="s">
        <v>33</v>
      </c>
      <c r="D210">
        <v>4</v>
      </c>
      <c r="E210" t="s">
        <v>30</v>
      </c>
      <c r="F210" t="s">
        <v>16</v>
      </c>
      <c r="G210" t="s">
        <v>17</v>
      </c>
      <c r="H210" t="s">
        <v>17</v>
      </c>
      <c r="I210" t="s">
        <v>17</v>
      </c>
      <c r="J210" t="s">
        <v>17</v>
      </c>
      <c r="K210" t="s">
        <v>17</v>
      </c>
      <c r="L210" s="4" t="s">
        <v>17</v>
      </c>
    </row>
    <row r="211" spans="1:12" x14ac:dyDescent="0.25">
      <c r="A211" t="s">
        <v>239</v>
      </c>
      <c r="B211" t="s">
        <v>25</v>
      </c>
      <c r="C211" t="s">
        <v>19</v>
      </c>
      <c r="D211">
        <v>3</v>
      </c>
      <c r="E211" t="s">
        <v>20</v>
      </c>
      <c r="F211" t="s">
        <v>16</v>
      </c>
      <c r="G211" t="s">
        <v>16</v>
      </c>
      <c r="H211" t="s">
        <v>16</v>
      </c>
      <c r="I211" t="s">
        <v>16</v>
      </c>
      <c r="J211" t="s">
        <v>16</v>
      </c>
      <c r="K211" t="s">
        <v>16</v>
      </c>
      <c r="L211" s="4" t="s">
        <v>17</v>
      </c>
    </row>
    <row r="212" spans="1:12" x14ac:dyDescent="0.25">
      <c r="A212" t="s">
        <v>240</v>
      </c>
      <c r="B212" t="s">
        <v>22</v>
      </c>
      <c r="C212" t="s">
        <v>29</v>
      </c>
      <c r="D212">
        <v>4</v>
      </c>
      <c r="E212" t="s">
        <v>23</v>
      </c>
      <c r="F212" t="s">
        <v>16</v>
      </c>
      <c r="G212" t="s">
        <v>16</v>
      </c>
      <c r="H212" t="s">
        <v>16</v>
      </c>
      <c r="I212" t="s">
        <v>16</v>
      </c>
      <c r="J212" t="s">
        <v>16</v>
      </c>
      <c r="K212" t="s">
        <v>16</v>
      </c>
      <c r="L212" s="4" t="s">
        <v>16</v>
      </c>
    </row>
    <row r="213" spans="1:12" x14ac:dyDescent="0.25">
      <c r="A213" t="s">
        <v>241</v>
      </c>
      <c r="B213" t="s">
        <v>22</v>
      </c>
      <c r="C213" t="s">
        <v>36</v>
      </c>
      <c r="D213">
        <v>2</v>
      </c>
      <c r="E213" t="s">
        <v>23</v>
      </c>
      <c r="F213" t="s">
        <v>16</v>
      </c>
      <c r="G213" t="s">
        <v>17</v>
      </c>
      <c r="H213" t="s">
        <v>17</v>
      </c>
      <c r="I213" t="s">
        <v>17</v>
      </c>
      <c r="J213" t="s">
        <v>17</v>
      </c>
      <c r="K213" t="s">
        <v>17</v>
      </c>
      <c r="L213" s="4" t="s">
        <v>17</v>
      </c>
    </row>
    <row r="214" spans="1:12" x14ac:dyDescent="0.25">
      <c r="A214" t="s">
        <v>242</v>
      </c>
      <c r="B214" t="s">
        <v>13</v>
      </c>
      <c r="C214" t="s">
        <v>14</v>
      </c>
      <c r="D214">
        <v>0</v>
      </c>
      <c r="E214" t="s">
        <v>20</v>
      </c>
      <c r="F214" t="s">
        <v>16</v>
      </c>
      <c r="G214" t="s">
        <v>16</v>
      </c>
      <c r="H214" t="s">
        <v>17</v>
      </c>
      <c r="I214" t="s">
        <v>17</v>
      </c>
      <c r="J214" t="s">
        <v>17</v>
      </c>
      <c r="K214" t="s">
        <v>17</v>
      </c>
      <c r="L214" s="4" t="s">
        <v>17</v>
      </c>
    </row>
    <row r="215" spans="1:12" x14ac:dyDescent="0.25">
      <c r="A215" t="s">
        <v>243</v>
      </c>
      <c r="B215" t="s">
        <v>13</v>
      </c>
      <c r="C215" t="s">
        <v>19</v>
      </c>
      <c r="D215">
        <v>6</v>
      </c>
      <c r="E215" t="s">
        <v>15</v>
      </c>
      <c r="F215" t="s">
        <v>16</v>
      </c>
      <c r="G215" t="s">
        <v>17</v>
      </c>
      <c r="H215" t="s">
        <v>17</v>
      </c>
      <c r="I215" t="s">
        <v>17</v>
      </c>
      <c r="J215" t="s">
        <v>17</v>
      </c>
      <c r="K215" t="s">
        <v>17</v>
      </c>
      <c r="L215" s="4" t="s">
        <v>17</v>
      </c>
    </row>
    <row r="216" spans="1:12" x14ac:dyDescent="0.25">
      <c r="A216" t="s">
        <v>244</v>
      </c>
      <c r="B216" t="s">
        <v>22</v>
      </c>
      <c r="C216" t="s">
        <v>36</v>
      </c>
      <c r="D216">
        <v>5</v>
      </c>
      <c r="E216" t="s">
        <v>23</v>
      </c>
      <c r="F216" t="s">
        <v>16</v>
      </c>
      <c r="G216" t="s">
        <v>16</v>
      </c>
      <c r="H216" t="s">
        <v>17</v>
      </c>
      <c r="I216" t="s">
        <v>17</v>
      </c>
      <c r="J216" t="s">
        <v>17</v>
      </c>
      <c r="K216" t="s">
        <v>17</v>
      </c>
      <c r="L216" s="4" t="s">
        <v>17</v>
      </c>
    </row>
    <row r="217" spans="1:12" x14ac:dyDescent="0.25">
      <c r="A217" t="s">
        <v>245</v>
      </c>
      <c r="B217" t="s">
        <v>22</v>
      </c>
      <c r="C217" t="s">
        <v>33</v>
      </c>
      <c r="D217">
        <v>5</v>
      </c>
      <c r="E217" t="s">
        <v>27</v>
      </c>
      <c r="F217" t="s">
        <v>17</v>
      </c>
      <c r="G217" t="s">
        <v>17</v>
      </c>
      <c r="H217" t="s">
        <v>17</v>
      </c>
      <c r="I217" t="s">
        <v>17</v>
      </c>
      <c r="J217" t="s">
        <v>17</v>
      </c>
      <c r="K217" t="s">
        <v>17</v>
      </c>
      <c r="L217" s="4" t="s">
        <v>17</v>
      </c>
    </row>
    <row r="218" spans="1:12" x14ac:dyDescent="0.25">
      <c r="A218" t="s">
        <v>246</v>
      </c>
      <c r="B218" t="s">
        <v>13</v>
      </c>
      <c r="C218" t="s">
        <v>29</v>
      </c>
      <c r="D218">
        <v>5</v>
      </c>
      <c r="E218" t="s">
        <v>23</v>
      </c>
      <c r="F218" t="s">
        <v>17</v>
      </c>
      <c r="G218" t="s">
        <v>17</v>
      </c>
      <c r="H218" t="s">
        <v>17</v>
      </c>
      <c r="I218" t="s">
        <v>17</v>
      </c>
      <c r="J218" t="s">
        <v>17</v>
      </c>
      <c r="K218" t="s">
        <v>17</v>
      </c>
      <c r="L218" s="4" t="s">
        <v>17</v>
      </c>
    </row>
    <row r="219" spans="1:12" x14ac:dyDescent="0.25">
      <c r="A219" t="s">
        <v>247</v>
      </c>
      <c r="B219" t="s">
        <v>22</v>
      </c>
      <c r="C219" t="s">
        <v>29</v>
      </c>
      <c r="D219">
        <v>4</v>
      </c>
      <c r="E219" t="s">
        <v>27</v>
      </c>
      <c r="F219" t="s">
        <v>16</v>
      </c>
      <c r="G219" t="s">
        <v>16</v>
      </c>
      <c r="H219" t="s">
        <v>17</v>
      </c>
      <c r="I219" t="s">
        <v>17</v>
      </c>
      <c r="J219" t="s">
        <v>17</v>
      </c>
      <c r="K219" t="s">
        <v>17</v>
      </c>
      <c r="L219" s="4" t="s">
        <v>17</v>
      </c>
    </row>
    <row r="220" spans="1:12" x14ac:dyDescent="0.25">
      <c r="A220" t="s">
        <v>248</v>
      </c>
      <c r="B220" t="s">
        <v>22</v>
      </c>
      <c r="C220" t="s">
        <v>29</v>
      </c>
      <c r="D220">
        <v>1</v>
      </c>
      <c r="E220" t="s">
        <v>15</v>
      </c>
      <c r="F220" t="s">
        <v>17</v>
      </c>
      <c r="G220" t="s">
        <v>17</v>
      </c>
      <c r="H220" t="s">
        <v>17</v>
      </c>
      <c r="I220" t="s">
        <v>17</v>
      </c>
      <c r="J220" t="s">
        <v>17</v>
      </c>
      <c r="K220" t="s">
        <v>17</v>
      </c>
      <c r="L220" s="4" t="s">
        <v>17</v>
      </c>
    </row>
    <row r="221" spans="1:12" x14ac:dyDescent="0.25">
      <c r="A221" t="s">
        <v>249</v>
      </c>
      <c r="B221" t="s">
        <v>22</v>
      </c>
      <c r="C221" t="s">
        <v>36</v>
      </c>
      <c r="D221">
        <v>6</v>
      </c>
      <c r="E221" t="s">
        <v>40</v>
      </c>
      <c r="F221" t="s">
        <v>16</v>
      </c>
      <c r="G221" t="s">
        <v>16</v>
      </c>
      <c r="H221" t="s">
        <v>17</v>
      </c>
      <c r="I221" t="s">
        <v>17</v>
      </c>
      <c r="J221" t="s">
        <v>17</v>
      </c>
      <c r="K221" t="s">
        <v>17</v>
      </c>
      <c r="L221" s="4" t="s">
        <v>17</v>
      </c>
    </row>
    <row r="222" spans="1:12" x14ac:dyDescent="0.25">
      <c r="A222" t="s">
        <v>250</v>
      </c>
      <c r="B222" t="s">
        <v>32</v>
      </c>
      <c r="C222" t="s">
        <v>29</v>
      </c>
      <c r="D222">
        <v>6</v>
      </c>
      <c r="E222" t="s">
        <v>20</v>
      </c>
      <c r="F222" t="s">
        <v>16</v>
      </c>
      <c r="G222" t="s">
        <v>16</v>
      </c>
      <c r="H222" t="s">
        <v>16</v>
      </c>
      <c r="I222" t="s">
        <v>17</v>
      </c>
      <c r="J222" t="s">
        <v>17</v>
      </c>
      <c r="K222" t="s">
        <v>17</v>
      </c>
      <c r="L222" s="4" t="s">
        <v>17</v>
      </c>
    </row>
    <row r="223" spans="1:12" x14ac:dyDescent="0.25">
      <c r="A223" t="s">
        <v>251</v>
      </c>
      <c r="B223" t="s">
        <v>25</v>
      </c>
      <c r="C223" t="s">
        <v>29</v>
      </c>
      <c r="D223">
        <v>1</v>
      </c>
      <c r="E223" t="s">
        <v>23</v>
      </c>
      <c r="F223" t="s">
        <v>16</v>
      </c>
      <c r="G223" t="s">
        <v>16</v>
      </c>
      <c r="H223" t="s">
        <v>17</v>
      </c>
      <c r="I223" t="s">
        <v>17</v>
      </c>
      <c r="J223" t="s">
        <v>17</v>
      </c>
      <c r="K223" t="s">
        <v>17</v>
      </c>
      <c r="L223" s="4" t="s">
        <v>17</v>
      </c>
    </row>
    <row r="224" spans="1:12" x14ac:dyDescent="0.25">
      <c r="A224" t="s">
        <v>252</v>
      </c>
      <c r="B224" t="s">
        <v>22</v>
      </c>
      <c r="C224" t="s">
        <v>36</v>
      </c>
      <c r="D224">
        <v>2</v>
      </c>
      <c r="E224" t="s">
        <v>23</v>
      </c>
      <c r="F224" t="s">
        <v>17</v>
      </c>
      <c r="G224" t="s">
        <v>17</v>
      </c>
      <c r="H224" t="s">
        <v>17</v>
      </c>
      <c r="I224" t="s">
        <v>17</v>
      </c>
      <c r="J224" t="s">
        <v>17</v>
      </c>
      <c r="K224" t="s">
        <v>17</v>
      </c>
      <c r="L224" s="4" t="s">
        <v>17</v>
      </c>
    </row>
    <row r="225" spans="1:12" x14ac:dyDescent="0.25">
      <c r="A225" t="s">
        <v>253</v>
      </c>
      <c r="B225" t="s">
        <v>22</v>
      </c>
      <c r="C225" t="s">
        <v>14</v>
      </c>
      <c r="D225">
        <v>6</v>
      </c>
      <c r="E225" t="s">
        <v>30</v>
      </c>
      <c r="F225" t="s">
        <v>17</v>
      </c>
      <c r="G225" t="s">
        <v>17</v>
      </c>
      <c r="H225" t="s">
        <v>17</v>
      </c>
      <c r="I225" t="s">
        <v>17</v>
      </c>
      <c r="J225" t="s">
        <v>17</v>
      </c>
      <c r="K225" t="s">
        <v>17</v>
      </c>
      <c r="L225" s="4" t="s">
        <v>17</v>
      </c>
    </row>
    <row r="226" spans="1:12" x14ac:dyDescent="0.25">
      <c r="A226" t="s">
        <v>254</v>
      </c>
      <c r="B226" t="s">
        <v>22</v>
      </c>
      <c r="C226" t="s">
        <v>29</v>
      </c>
      <c r="D226">
        <v>4</v>
      </c>
      <c r="E226" t="s">
        <v>30</v>
      </c>
      <c r="F226" t="s">
        <v>16</v>
      </c>
      <c r="G226" t="s">
        <v>16</v>
      </c>
      <c r="H226" t="s">
        <v>16</v>
      </c>
      <c r="I226" t="s">
        <v>17</v>
      </c>
      <c r="J226" t="s">
        <v>17</v>
      </c>
      <c r="K226" t="s">
        <v>17</v>
      </c>
      <c r="L226" s="4" t="s">
        <v>17</v>
      </c>
    </row>
    <row r="227" spans="1:12" x14ac:dyDescent="0.25">
      <c r="A227" t="s">
        <v>255</v>
      </c>
      <c r="B227" t="s">
        <v>50</v>
      </c>
      <c r="C227" t="s">
        <v>29</v>
      </c>
      <c r="D227">
        <v>6</v>
      </c>
      <c r="E227" t="s">
        <v>20</v>
      </c>
      <c r="F227" t="s">
        <v>16</v>
      </c>
      <c r="G227" t="s">
        <v>16</v>
      </c>
      <c r="H227" t="s">
        <v>17</v>
      </c>
      <c r="I227" t="s">
        <v>17</v>
      </c>
      <c r="J227" t="s">
        <v>17</v>
      </c>
      <c r="K227" t="s">
        <v>17</v>
      </c>
      <c r="L227" s="4" t="s">
        <v>17</v>
      </c>
    </row>
    <row r="228" spans="1:12" x14ac:dyDescent="0.25">
      <c r="A228" t="s">
        <v>256</v>
      </c>
      <c r="B228" t="s">
        <v>25</v>
      </c>
      <c r="C228" t="s">
        <v>33</v>
      </c>
      <c r="D228">
        <v>0</v>
      </c>
      <c r="E228" t="s">
        <v>23</v>
      </c>
      <c r="F228" t="s">
        <v>17</v>
      </c>
      <c r="G228" t="s">
        <v>17</v>
      </c>
      <c r="H228" t="s">
        <v>17</v>
      </c>
      <c r="I228" t="s">
        <v>17</v>
      </c>
      <c r="J228" t="s">
        <v>17</v>
      </c>
      <c r="K228" t="s">
        <v>17</v>
      </c>
      <c r="L228" s="4" t="s">
        <v>17</v>
      </c>
    </row>
    <row r="229" spans="1:12" x14ac:dyDescent="0.25">
      <c r="A229" t="s">
        <v>257</v>
      </c>
      <c r="B229" t="s">
        <v>25</v>
      </c>
      <c r="C229" t="s">
        <v>36</v>
      </c>
      <c r="D229">
        <v>6</v>
      </c>
      <c r="E229" t="s">
        <v>15</v>
      </c>
      <c r="F229" t="s">
        <v>16</v>
      </c>
      <c r="G229" t="s">
        <v>17</v>
      </c>
      <c r="H229" t="s">
        <v>17</v>
      </c>
      <c r="I229" t="s">
        <v>17</v>
      </c>
      <c r="J229" t="s">
        <v>17</v>
      </c>
      <c r="K229" t="s">
        <v>17</v>
      </c>
      <c r="L229" s="4" t="s">
        <v>17</v>
      </c>
    </row>
    <row r="230" spans="1:12" x14ac:dyDescent="0.25">
      <c r="A230" t="s">
        <v>258</v>
      </c>
      <c r="B230" t="s">
        <v>22</v>
      </c>
      <c r="C230" t="s">
        <v>36</v>
      </c>
      <c r="D230">
        <v>1</v>
      </c>
      <c r="E230" t="s">
        <v>30</v>
      </c>
      <c r="F230" t="s">
        <v>17</v>
      </c>
      <c r="G230" t="s">
        <v>17</v>
      </c>
      <c r="H230" t="s">
        <v>17</v>
      </c>
      <c r="I230" t="s">
        <v>17</v>
      </c>
      <c r="J230" t="s">
        <v>17</v>
      </c>
      <c r="K230" t="s">
        <v>17</v>
      </c>
      <c r="L230" s="4" t="s">
        <v>17</v>
      </c>
    </row>
    <row r="231" spans="1:12" x14ac:dyDescent="0.25">
      <c r="A231" t="s">
        <v>259</v>
      </c>
      <c r="B231" t="s">
        <v>50</v>
      </c>
      <c r="C231" t="s">
        <v>36</v>
      </c>
      <c r="D231">
        <v>3</v>
      </c>
      <c r="E231" t="s">
        <v>20</v>
      </c>
      <c r="F231" t="s">
        <v>16</v>
      </c>
      <c r="G231" t="s">
        <v>16</v>
      </c>
      <c r="H231" t="s">
        <v>16</v>
      </c>
      <c r="I231" t="s">
        <v>16</v>
      </c>
      <c r="J231" t="s">
        <v>16</v>
      </c>
      <c r="K231" t="s">
        <v>16</v>
      </c>
      <c r="L231" s="4" t="s">
        <v>16</v>
      </c>
    </row>
    <row r="232" spans="1:12" x14ac:dyDescent="0.25">
      <c r="A232" t="s">
        <v>260</v>
      </c>
      <c r="B232" t="s">
        <v>22</v>
      </c>
      <c r="C232" t="s">
        <v>14</v>
      </c>
      <c r="D232">
        <v>0</v>
      </c>
      <c r="E232" t="s">
        <v>27</v>
      </c>
      <c r="F232" t="s">
        <v>17</v>
      </c>
      <c r="G232" t="s">
        <v>17</v>
      </c>
      <c r="H232" t="s">
        <v>17</v>
      </c>
      <c r="I232" t="s">
        <v>17</v>
      </c>
      <c r="J232" t="s">
        <v>17</v>
      </c>
      <c r="K232" t="s">
        <v>17</v>
      </c>
      <c r="L232" s="4" t="s">
        <v>17</v>
      </c>
    </row>
    <row r="233" spans="1:12" x14ac:dyDescent="0.25">
      <c r="A233" t="s">
        <v>261</v>
      </c>
      <c r="B233" t="s">
        <v>32</v>
      </c>
      <c r="C233" t="s">
        <v>29</v>
      </c>
      <c r="D233">
        <v>6</v>
      </c>
      <c r="E233" t="s">
        <v>23</v>
      </c>
      <c r="F233" t="s">
        <v>16</v>
      </c>
      <c r="G233" t="s">
        <v>17</v>
      </c>
      <c r="H233" t="s">
        <v>17</v>
      </c>
      <c r="I233" t="s">
        <v>17</v>
      </c>
      <c r="J233" t="s">
        <v>17</v>
      </c>
      <c r="K233" t="s">
        <v>17</v>
      </c>
      <c r="L233" s="4" t="s">
        <v>17</v>
      </c>
    </row>
    <row r="234" spans="1:12" x14ac:dyDescent="0.25">
      <c r="A234" t="s">
        <v>262</v>
      </c>
      <c r="B234" t="s">
        <v>50</v>
      </c>
      <c r="C234" t="s">
        <v>14</v>
      </c>
      <c r="D234">
        <v>1</v>
      </c>
      <c r="E234" t="s">
        <v>15</v>
      </c>
      <c r="F234" t="s">
        <v>16</v>
      </c>
      <c r="G234" t="s">
        <v>17</v>
      </c>
      <c r="H234" t="s">
        <v>17</v>
      </c>
      <c r="I234" t="s">
        <v>17</v>
      </c>
      <c r="J234" t="s">
        <v>17</v>
      </c>
      <c r="K234" t="s">
        <v>17</v>
      </c>
      <c r="L234" s="4" t="s">
        <v>17</v>
      </c>
    </row>
    <row r="235" spans="1:12" x14ac:dyDescent="0.25">
      <c r="A235" t="s">
        <v>263</v>
      </c>
      <c r="B235" t="s">
        <v>32</v>
      </c>
      <c r="C235" t="s">
        <v>14</v>
      </c>
      <c r="D235">
        <v>2</v>
      </c>
      <c r="E235" t="s">
        <v>15</v>
      </c>
      <c r="F235" t="s">
        <v>16</v>
      </c>
      <c r="G235" t="s">
        <v>16</v>
      </c>
      <c r="H235" t="s">
        <v>16</v>
      </c>
      <c r="I235" t="s">
        <v>17</v>
      </c>
      <c r="J235" t="s">
        <v>17</v>
      </c>
      <c r="K235" t="s">
        <v>17</v>
      </c>
      <c r="L235" s="4" t="s">
        <v>17</v>
      </c>
    </row>
    <row r="236" spans="1:12" x14ac:dyDescent="0.25">
      <c r="A236" t="s">
        <v>264</v>
      </c>
      <c r="B236" t="s">
        <v>32</v>
      </c>
      <c r="C236" t="s">
        <v>14</v>
      </c>
      <c r="D236">
        <v>3</v>
      </c>
      <c r="E236" t="s">
        <v>20</v>
      </c>
      <c r="F236" t="s">
        <v>16</v>
      </c>
      <c r="G236" t="s">
        <v>17</v>
      </c>
      <c r="H236" t="s">
        <v>17</v>
      </c>
      <c r="I236" t="s">
        <v>17</v>
      </c>
      <c r="J236" t="s">
        <v>17</v>
      </c>
      <c r="K236" t="s">
        <v>17</v>
      </c>
      <c r="L236" s="4" t="s">
        <v>17</v>
      </c>
    </row>
    <row r="237" spans="1:12" x14ac:dyDescent="0.25">
      <c r="A237" t="s">
        <v>265</v>
      </c>
      <c r="B237" t="s">
        <v>32</v>
      </c>
      <c r="C237" t="s">
        <v>29</v>
      </c>
      <c r="D237">
        <v>2</v>
      </c>
      <c r="E237" t="s">
        <v>30</v>
      </c>
      <c r="F237" t="s">
        <v>16</v>
      </c>
      <c r="G237" t="s">
        <v>16</v>
      </c>
      <c r="H237" t="s">
        <v>16</v>
      </c>
      <c r="I237" t="s">
        <v>16</v>
      </c>
      <c r="J237" t="s">
        <v>16</v>
      </c>
      <c r="K237" t="s">
        <v>16</v>
      </c>
      <c r="L237" s="4" t="s">
        <v>16</v>
      </c>
    </row>
    <row r="238" spans="1:12" x14ac:dyDescent="0.25">
      <c r="A238" t="s">
        <v>266</v>
      </c>
      <c r="B238" t="s">
        <v>50</v>
      </c>
      <c r="C238" t="s">
        <v>33</v>
      </c>
      <c r="D238">
        <v>6</v>
      </c>
      <c r="E238" t="s">
        <v>20</v>
      </c>
      <c r="F238" t="s">
        <v>16</v>
      </c>
      <c r="G238" t="s">
        <v>16</v>
      </c>
      <c r="H238" t="s">
        <v>16</v>
      </c>
      <c r="I238" t="s">
        <v>17</v>
      </c>
      <c r="J238" t="s">
        <v>17</v>
      </c>
      <c r="K238" t="s">
        <v>17</v>
      </c>
      <c r="L238" s="4" t="s">
        <v>17</v>
      </c>
    </row>
    <row r="239" spans="1:12" x14ac:dyDescent="0.25">
      <c r="A239" t="s">
        <v>267</v>
      </c>
      <c r="B239" t="s">
        <v>50</v>
      </c>
      <c r="C239" t="s">
        <v>36</v>
      </c>
      <c r="D239">
        <v>0</v>
      </c>
      <c r="E239" t="s">
        <v>27</v>
      </c>
      <c r="F239" t="s">
        <v>17</v>
      </c>
      <c r="G239" t="s">
        <v>17</v>
      </c>
      <c r="H239" t="s">
        <v>17</v>
      </c>
      <c r="I239" t="s">
        <v>17</v>
      </c>
      <c r="J239" t="s">
        <v>17</v>
      </c>
      <c r="K239" t="s">
        <v>17</v>
      </c>
      <c r="L239" s="4" t="s">
        <v>17</v>
      </c>
    </row>
    <row r="240" spans="1:12" x14ac:dyDescent="0.25">
      <c r="A240" t="s">
        <v>268</v>
      </c>
      <c r="B240" t="s">
        <v>22</v>
      </c>
      <c r="C240" t="s">
        <v>29</v>
      </c>
      <c r="D240">
        <v>5</v>
      </c>
      <c r="E240" t="s">
        <v>40</v>
      </c>
      <c r="F240" t="s">
        <v>17</v>
      </c>
      <c r="G240" t="s">
        <v>17</v>
      </c>
      <c r="H240" t="s">
        <v>17</v>
      </c>
      <c r="I240" t="s">
        <v>17</v>
      </c>
      <c r="J240" t="s">
        <v>17</v>
      </c>
      <c r="K240" t="s">
        <v>17</v>
      </c>
      <c r="L240" s="4" t="s">
        <v>17</v>
      </c>
    </row>
    <row r="241" spans="1:12" x14ac:dyDescent="0.25">
      <c r="A241" t="s">
        <v>269</v>
      </c>
      <c r="B241" t="s">
        <v>13</v>
      </c>
      <c r="C241" t="s">
        <v>36</v>
      </c>
      <c r="D241">
        <v>0</v>
      </c>
      <c r="E241" t="s">
        <v>27</v>
      </c>
      <c r="F241" t="s">
        <v>16</v>
      </c>
      <c r="G241" t="s">
        <v>17</v>
      </c>
      <c r="H241" t="s">
        <v>17</v>
      </c>
      <c r="I241" t="s">
        <v>17</v>
      </c>
      <c r="J241" t="s">
        <v>17</v>
      </c>
      <c r="K241" t="s">
        <v>17</v>
      </c>
      <c r="L241" s="4" t="s">
        <v>17</v>
      </c>
    </row>
    <row r="242" spans="1:12" x14ac:dyDescent="0.25">
      <c r="A242" t="s">
        <v>270</v>
      </c>
      <c r="B242" t="s">
        <v>22</v>
      </c>
      <c r="C242" t="s">
        <v>29</v>
      </c>
      <c r="D242">
        <v>3</v>
      </c>
      <c r="E242" t="s">
        <v>23</v>
      </c>
      <c r="F242" t="s">
        <v>16</v>
      </c>
      <c r="G242" t="s">
        <v>16</v>
      </c>
      <c r="H242" t="s">
        <v>16</v>
      </c>
      <c r="I242" t="s">
        <v>17</v>
      </c>
      <c r="J242" t="s">
        <v>17</v>
      </c>
      <c r="K242" t="s">
        <v>17</v>
      </c>
      <c r="L242" s="4" t="s">
        <v>17</v>
      </c>
    </row>
    <row r="243" spans="1:12" x14ac:dyDescent="0.25">
      <c r="A243" t="s">
        <v>271</v>
      </c>
      <c r="B243" t="s">
        <v>50</v>
      </c>
      <c r="C243" t="s">
        <v>14</v>
      </c>
      <c r="D243">
        <v>1</v>
      </c>
      <c r="E243" t="s">
        <v>40</v>
      </c>
      <c r="F243" t="s">
        <v>17</v>
      </c>
      <c r="G243" t="s">
        <v>17</v>
      </c>
      <c r="H243" t="s">
        <v>17</v>
      </c>
      <c r="I243" t="s">
        <v>17</v>
      </c>
      <c r="J243" t="s">
        <v>17</v>
      </c>
      <c r="K243" t="s">
        <v>17</v>
      </c>
      <c r="L243" s="4" t="s">
        <v>17</v>
      </c>
    </row>
    <row r="244" spans="1:12" x14ac:dyDescent="0.25">
      <c r="A244" t="s">
        <v>272</v>
      </c>
      <c r="B244" t="s">
        <v>25</v>
      </c>
      <c r="C244" t="s">
        <v>36</v>
      </c>
      <c r="D244">
        <v>2</v>
      </c>
      <c r="E244" t="s">
        <v>20</v>
      </c>
      <c r="F244" t="s">
        <v>16</v>
      </c>
      <c r="G244" t="s">
        <v>17</v>
      </c>
      <c r="H244" t="s">
        <v>17</v>
      </c>
      <c r="I244" t="s">
        <v>17</v>
      </c>
      <c r="J244" t="s">
        <v>17</v>
      </c>
      <c r="K244" t="s">
        <v>17</v>
      </c>
      <c r="L244" s="4" t="s">
        <v>17</v>
      </c>
    </row>
    <row r="245" spans="1:12" x14ac:dyDescent="0.25">
      <c r="A245" t="s">
        <v>273</v>
      </c>
      <c r="B245" t="s">
        <v>32</v>
      </c>
      <c r="C245" t="s">
        <v>14</v>
      </c>
      <c r="D245">
        <v>5</v>
      </c>
      <c r="E245" t="s">
        <v>15</v>
      </c>
      <c r="F245" t="s">
        <v>16</v>
      </c>
      <c r="G245" t="s">
        <v>17</v>
      </c>
      <c r="H245" t="s">
        <v>17</v>
      </c>
      <c r="I245" t="s">
        <v>17</v>
      </c>
      <c r="J245" t="s">
        <v>17</v>
      </c>
      <c r="K245" t="s">
        <v>17</v>
      </c>
      <c r="L245" s="4" t="s">
        <v>17</v>
      </c>
    </row>
    <row r="246" spans="1:12" x14ac:dyDescent="0.25">
      <c r="A246" t="s">
        <v>274</v>
      </c>
      <c r="B246" t="s">
        <v>22</v>
      </c>
      <c r="C246" t="s">
        <v>29</v>
      </c>
      <c r="D246">
        <v>2</v>
      </c>
      <c r="E246" t="s">
        <v>40</v>
      </c>
      <c r="F246" t="s">
        <v>17</v>
      </c>
      <c r="G246" t="s">
        <v>17</v>
      </c>
      <c r="H246" t="s">
        <v>17</v>
      </c>
      <c r="I246" t="s">
        <v>17</v>
      </c>
      <c r="J246" t="s">
        <v>17</v>
      </c>
      <c r="K246" t="s">
        <v>17</v>
      </c>
      <c r="L246" s="4" t="s">
        <v>17</v>
      </c>
    </row>
    <row r="247" spans="1:12" x14ac:dyDescent="0.25">
      <c r="A247" t="s">
        <v>275</v>
      </c>
      <c r="B247" t="s">
        <v>32</v>
      </c>
      <c r="C247" t="s">
        <v>36</v>
      </c>
      <c r="D247">
        <v>3</v>
      </c>
      <c r="E247" t="s">
        <v>30</v>
      </c>
      <c r="F247" t="s">
        <v>16</v>
      </c>
      <c r="G247" t="s">
        <v>16</v>
      </c>
      <c r="H247" t="s">
        <v>17</v>
      </c>
      <c r="I247" t="s">
        <v>17</v>
      </c>
      <c r="J247" t="s">
        <v>17</v>
      </c>
      <c r="K247" t="s">
        <v>17</v>
      </c>
      <c r="L247" s="4" t="s">
        <v>17</v>
      </c>
    </row>
    <row r="248" spans="1:12" x14ac:dyDescent="0.25">
      <c r="A248" t="s">
        <v>276</v>
      </c>
      <c r="B248" t="s">
        <v>32</v>
      </c>
      <c r="C248" t="s">
        <v>29</v>
      </c>
      <c r="D248">
        <v>2</v>
      </c>
      <c r="E248" t="s">
        <v>40</v>
      </c>
      <c r="F248" t="s">
        <v>17</v>
      </c>
      <c r="G248" t="s">
        <v>17</v>
      </c>
      <c r="H248" t="s">
        <v>17</v>
      </c>
      <c r="I248" t="s">
        <v>17</v>
      </c>
      <c r="J248" t="s">
        <v>17</v>
      </c>
      <c r="K248" t="s">
        <v>17</v>
      </c>
      <c r="L248" s="4" t="s">
        <v>17</v>
      </c>
    </row>
    <row r="249" spans="1:12" x14ac:dyDescent="0.25">
      <c r="A249" t="s">
        <v>277</v>
      </c>
      <c r="B249" t="s">
        <v>22</v>
      </c>
      <c r="C249" t="s">
        <v>33</v>
      </c>
      <c r="D249">
        <v>6</v>
      </c>
      <c r="E249" t="s">
        <v>15</v>
      </c>
      <c r="F249" t="s">
        <v>16</v>
      </c>
      <c r="G249" t="s">
        <v>16</v>
      </c>
      <c r="H249" t="s">
        <v>16</v>
      </c>
      <c r="I249" t="s">
        <v>17</v>
      </c>
      <c r="J249" t="s">
        <v>17</v>
      </c>
      <c r="K249" t="s">
        <v>17</v>
      </c>
      <c r="L249" s="4" t="s">
        <v>17</v>
      </c>
    </row>
    <row r="250" spans="1:12" x14ac:dyDescent="0.25">
      <c r="A250" t="s">
        <v>278</v>
      </c>
      <c r="B250" t="s">
        <v>22</v>
      </c>
      <c r="C250" t="s">
        <v>33</v>
      </c>
      <c r="D250">
        <v>3</v>
      </c>
      <c r="E250" t="s">
        <v>15</v>
      </c>
      <c r="F250" t="s">
        <v>16</v>
      </c>
      <c r="G250" t="s">
        <v>16</v>
      </c>
      <c r="H250" t="s">
        <v>16</v>
      </c>
      <c r="I250" t="s">
        <v>17</v>
      </c>
      <c r="J250" t="s">
        <v>17</v>
      </c>
      <c r="K250" t="s">
        <v>17</v>
      </c>
      <c r="L250" s="4" t="s">
        <v>17</v>
      </c>
    </row>
    <row r="251" spans="1:12" x14ac:dyDescent="0.25">
      <c r="A251" t="s">
        <v>279</v>
      </c>
      <c r="B251" t="s">
        <v>32</v>
      </c>
      <c r="C251" t="s">
        <v>19</v>
      </c>
      <c r="D251">
        <v>2</v>
      </c>
      <c r="E251" t="s">
        <v>23</v>
      </c>
      <c r="F251" t="s">
        <v>17</v>
      </c>
      <c r="G251" t="s">
        <v>17</v>
      </c>
      <c r="H251" t="s">
        <v>17</v>
      </c>
      <c r="I251" t="s">
        <v>17</v>
      </c>
      <c r="J251" t="s">
        <v>17</v>
      </c>
      <c r="K251" t="s">
        <v>17</v>
      </c>
      <c r="L251" s="4" t="s">
        <v>17</v>
      </c>
    </row>
    <row r="252" spans="1:12" x14ac:dyDescent="0.25">
      <c r="A252" t="s">
        <v>280</v>
      </c>
      <c r="B252" t="s">
        <v>50</v>
      </c>
      <c r="C252" t="s">
        <v>14</v>
      </c>
      <c r="D252">
        <v>5</v>
      </c>
      <c r="E252" t="s">
        <v>30</v>
      </c>
      <c r="F252" t="s">
        <v>16</v>
      </c>
      <c r="G252" t="s">
        <v>17</v>
      </c>
      <c r="H252" t="s">
        <v>17</v>
      </c>
      <c r="I252" t="s">
        <v>17</v>
      </c>
      <c r="J252" t="s">
        <v>17</v>
      </c>
      <c r="K252" t="s">
        <v>17</v>
      </c>
      <c r="L252" s="4" t="s">
        <v>17</v>
      </c>
    </row>
    <row r="253" spans="1:12" x14ac:dyDescent="0.25">
      <c r="A253" t="s">
        <v>281</v>
      </c>
      <c r="B253" t="s">
        <v>13</v>
      </c>
      <c r="C253" t="s">
        <v>19</v>
      </c>
      <c r="D253">
        <v>1</v>
      </c>
      <c r="E253" t="s">
        <v>20</v>
      </c>
      <c r="F253" t="s">
        <v>16</v>
      </c>
      <c r="G253" t="s">
        <v>16</v>
      </c>
      <c r="H253" t="s">
        <v>16</v>
      </c>
      <c r="I253" t="s">
        <v>16</v>
      </c>
      <c r="J253" t="s">
        <v>16</v>
      </c>
      <c r="K253" t="s">
        <v>16</v>
      </c>
      <c r="L253" s="4" t="s">
        <v>17</v>
      </c>
    </row>
    <row r="254" spans="1:12" x14ac:dyDescent="0.25">
      <c r="A254" t="s">
        <v>282</v>
      </c>
      <c r="B254" t="s">
        <v>22</v>
      </c>
      <c r="C254" t="s">
        <v>14</v>
      </c>
      <c r="D254">
        <v>3</v>
      </c>
      <c r="E254" t="s">
        <v>27</v>
      </c>
      <c r="F254" t="s">
        <v>16</v>
      </c>
      <c r="G254" t="s">
        <v>17</v>
      </c>
      <c r="H254" t="s">
        <v>17</v>
      </c>
      <c r="I254" t="s">
        <v>17</v>
      </c>
      <c r="J254" t="s">
        <v>17</v>
      </c>
      <c r="K254" t="s">
        <v>17</v>
      </c>
      <c r="L254" s="4" t="s">
        <v>17</v>
      </c>
    </row>
    <row r="255" spans="1:12" x14ac:dyDescent="0.25">
      <c r="A255" t="s">
        <v>283</v>
      </c>
      <c r="B255" t="s">
        <v>32</v>
      </c>
      <c r="C255" t="s">
        <v>33</v>
      </c>
      <c r="D255">
        <v>3</v>
      </c>
      <c r="E255" t="s">
        <v>27</v>
      </c>
      <c r="F255" t="s">
        <v>16</v>
      </c>
      <c r="G255" t="s">
        <v>16</v>
      </c>
      <c r="H255" t="s">
        <v>16</v>
      </c>
      <c r="I255" t="s">
        <v>17</v>
      </c>
      <c r="J255" t="s">
        <v>17</v>
      </c>
      <c r="K255" t="s">
        <v>17</v>
      </c>
      <c r="L255" s="4" t="s">
        <v>17</v>
      </c>
    </row>
    <row r="256" spans="1:12" x14ac:dyDescent="0.25">
      <c r="A256" t="s">
        <v>284</v>
      </c>
      <c r="B256" t="s">
        <v>32</v>
      </c>
      <c r="C256" t="s">
        <v>36</v>
      </c>
      <c r="D256">
        <v>4</v>
      </c>
      <c r="E256" t="s">
        <v>40</v>
      </c>
      <c r="F256" t="s">
        <v>16</v>
      </c>
      <c r="G256" t="s">
        <v>16</v>
      </c>
      <c r="H256" t="s">
        <v>16</v>
      </c>
      <c r="I256" t="s">
        <v>17</v>
      </c>
      <c r="J256" t="s">
        <v>17</v>
      </c>
      <c r="K256" t="s">
        <v>17</v>
      </c>
      <c r="L256" s="4" t="s">
        <v>17</v>
      </c>
    </row>
    <row r="257" spans="1:12" x14ac:dyDescent="0.25">
      <c r="A257" t="s">
        <v>285</v>
      </c>
      <c r="B257" t="s">
        <v>22</v>
      </c>
      <c r="C257" t="s">
        <v>19</v>
      </c>
      <c r="D257">
        <v>3</v>
      </c>
      <c r="E257" t="s">
        <v>15</v>
      </c>
      <c r="F257" t="s">
        <v>16</v>
      </c>
      <c r="G257" t="s">
        <v>17</v>
      </c>
      <c r="H257" t="s">
        <v>17</v>
      </c>
      <c r="I257" t="s">
        <v>17</v>
      </c>
      <c r="J257" t="s">
        <v>17</v>
      </c>
      <c r="K257" t="s">
        <v>17</v>
      </c>
      <c r="L257" s="4" t="s">
        <v>17</v>
      </c>
    </row>
    <row r="258" spans="1:12" x14ac:dyDescent="0.25">
      <c r="A258" t="s">
        <v>286</v>
      </c>
      <c r="B258" t="s">
        <v>32</v>
      </c>
      <c r="C258" t="s">
        <v>19</v>
      </c>
      <c r="D258">
        <v>3</v>
      </c>
      <c r="E258" t="s">
        <v>40</v>
      </c>
      <c r="F258" t="s">
        <v>17</v>
      </c>
      <c r="G258" t="s">
        <v>17</v>
      </c>
      <c r="H258" t="s">
        <v>17</v>
      </c>
      <c r="I258" t="s">
        <v>17</v>
      </c>
      <c r="J258" t="s">
        <v>17</v>
      </c>
      <c r="K258" t="s">
        <v>17</v>
      </c>
      <c r="L258" s="4" t="s">
        <v>17</v>
      </c>
    </row>
    <row r="259" spans="1:12" x14ac:dyDescent="0.25">
      <c r="A259" t="s">
        <v>287</v>
      </c>
      <c r="B259" t="s">
        <v>50</v>
      </c>
      <c r="C259" t="s">
        <v>19</v>
      </c>
      <c r="D259">
        <v>5</v>
      </c>
      <c r="E259" t="s">
        <v>27</v>
      </c>
      <c r="F259" t="s">
        <v>16</v>
      </c>
      <c r="G259" t="s">
        <v>16</v>
      </c>
      <c r="H259" t="s">
        <v>16</v>
      </c>
      <c r="I259" t="s">
        <v>16</v>
      </c>
      <c r="J259" t="s">
        <v>16</v>
      </c>
      <c r="K259" t="s">
        <v>16</v>
      </c>
      <c r="L259" s="4" t="s">
        <v>16</v>
      </c>
    </row>
    <row r="260" spans="1:12" x14ac:dyDescent="0.25">
      <c r="A260" t="s">
        <v>288</v>
      </c>
      <c r="B260" t="s">
        <v>22</v>
      </c>
      <c r="C260" t="s">
        <v>36</v>
      </c>
      <c r="D260">
        <v>1</v>
      </c>
      <c r="E260" t="s">
        <v>40</v>
      </c>
      <c r="F260" t="s">
        <v>17</v>
      </c>
      <c r="G260" t="s">
        <v>17</v>
      </c>
      <c r="H260" t="s">
        <v>17</v>
      </c>
      <c r="I260" t="s">
        <v>17</v>
      </c>
      <c r="J260" t="s">
        <v>17</v>
      </c>
      <c r="K260" t="s">
        <v>17</v>
      </c>
      <c r="L260" s="4" t="s">
        <v>17</v>
      </c>
    </row>
    <row r="261" spans="1:12" x14ac:dyDescent="0.25">
      <c r="A261" t="s">
        <v>289</v>
      </c>
      <c r="B261" t="s">
        <v>25</v>
      </c>
      <c r="C261" t="s">
        <v>14</v>
      </c>
      <c r="D261">
        <v>3</v>
      </c>
      <c r="E261" t="s">
        <v>40</v>
      </c>
      <c r="F261" t="s">
        <v>16</v>
      </c>
      <c r="G261" t="s">
        <v>17</v>
      </c>
      <c r="H261" t="s">
        <v>17</v>
      </c>
      <c r="I261" t="s">
        <v>17</v>
      </c>
      <c r="J261" t="s">
        <v>17</v>
      </c>
      <c r="K261" t="s">
        <v>17</v>
      </c>
      <c r="L261" s="4" t="s">
        <v>17</v>
      </c>
    </row>
    <row r="262" spans="1:12" x14ac:dyDescent="0.25">
      <c r="A262" t="s">
        <v>290</v>
      </c>
      <c r="B262" t="s">
        <v>32</v>
      </c>
      <c r="C262" t="s">
        <v>19</v>
      </c>
      <c r="D262">
        <v>1</v>
      </c>
      <c r="E262" t="s">
        <v>20</v>
      </c>
      <c r="F262" t="s">
        <v>17</v>
      </c>
      <c r="G262" t="s">
        <v>17</v>
      </c>
      <c r="H262" t="s">
        <v>17</v>
      </c>
      <c r="I262" t="s">
        <v>17</v>
      </c>
      <c r="J262" t="s">
        <v>17</v>
      </c>
      <c r="K262" t="s">
        <v>17</v>
      </c>
      <c r="L262" s="4" t="s">
        <v>17</v>
      </c>
    </row>
    <row r="263" spans="1:12" x14ac:dyDescent="0.25">
      <c r="A263" t="s">
        <v>291</v>
      </c>
      <c r="B263" t="s">
        <v>22</v>
      </c>
      <c r="C263" t="s">
        <v>36</v>
      </c>
      <c r="D263">
        <v>5</v>
      </c>
      <c r="E263" t="s">
        <v>23</v>
      </c>
      <c r="F263" t="s">
        <v>16</v>
      </c>
      <c r="G263" t="s">
        <v>16</v>
      </c>
      <c r="H263" t="s">
        <v>16</v>
      </c>
      <c r="I263" t="s">
        <v>17</v>
      </c>
      <c r="J263" t="s">
        <v>17</v>
      </c>
      <c r="K263" t="s">
        <v>17</v>
      </c>
      <c r="L263" s="4" t="s">
        <v>17</v>
      </c>
    </row>
    <row r="264" spans="1:12" x14ac:dyDescent="0.25">
      <c r="A264" t="s">
        <v>292</v>
      </c>
      <c r="B264" t="s">
        <v>22</v>
      </c>
      <c r="C264" t="s">
        <v>36</v>
      </c>
      <c r="D264">
        <v>0</v>
      </c>
      <c r="E264" t="s">
        <v>30</v>
      </c>
      <c r="F264" t="s">
        <v>16</v>
      </c>
      <c r="G264" t="s">
        <v>16</v>
      </c>
      <c r="H264" t="s">
        <v>16</v>
      </c>
      <c r="I264" t="s">
        <v>17</v>
      </c>
      <c r="J264" t="s">
        <v>17</v>
      </c>
      <c r="K264" t="s">
        <v>17</v>
      </c>
      <c r="L264" s="4" t="s">
        <v>17</v>
      </c>
    </row>
    <row r="265" spans="1:12" x14ac:dyDescent="0.25">
      <c r="A265" t="s">
        <v>293</v>
      </c>
      <c r="B265" t="s">
        <v>32</v>
      </c>
      <c r="C265" t="s">
        <v>33</v>
      </c>
      <c r="D265">
        <v>6</v>
      </c>
      <c r="E265" t="s">
        <v>15</v>
      </c>
      <c r="F265" t="s">
        <v>16</v>
      </c>
      <c r="G265" t="s">
        <v>17</v>
      </c>
      <c r="H265" t="s">
        <v>17</v>
      </c>
      <c r="I265" t="s">
        <v>17</v>
      </c>
      <c r="J265" t="s">
        <v>17</v>
      </c>
      <c r="K265" t="s">
        <v>17</v>
      </c>
      <c r="L265" s="4" t="s">
        <v>17</v>
      </c>
    </row>
    <row r="266" spans="1:12" x14ac:dyDescent="0.25">
      <c r="A266" t="s">
        <v>294</v>
      </c>
      <c r="B266" t="s">
        <v>22</v>
      </c>
      <c r="C266" t="s">
        <v>14</v>
      </c>
      <c r="D266">
        <v>1</v>
      </c>
      <c r="E266" t="s">
        <v>27</v>
      </c>
      <c r="F266" t="s">
        <v>16</v>
      </c>
      <c r="G266" t="s">
        <v>16</v>
      </c>
      <c r="H266" t="s">
        <v>17</v>
      </c>
      <c r="I266" t="s">
        <v>17</v>
      </c>
      <c r="J266" t="s">
        <v>17</v>
      </c>
      <c r="K266" t="s">
        <v>17</v>
      </c>
      <c r="L266" s="4" t="s">
        <v>17</v>
      </c>
    </row>
    <row r="267" spans="1:12" x14ac:dyDescent="0.25">
      <c r="A267" t="s">
        <v>295</v>
      </c>
      <c r="B267" t="s">
        <v>22</v>
      </c>
      <c r="C267" t="s">
        <v>19</v>
      </c>
      <c r="D267">
        <v>2</v>
      </c>
      <c r="E267" t="s">
        <v>40</v>
      </c>
      <c r="F267" t="s">
        <v>16</v>
      </c>
      <c r="G267" t="s">
        <v>17</v>
      </c>
      <c r="H267" t="s">
        <v>17</v>
      </c>
      <c r="I267" t="s">
        <v>17</v>
      </c>
      <c r="J267" t="s">
        <v>17</v>
      </c>
      <c r="K267" t="s">
        <v>17</v>
      </c>
      <c r="L267" s="4" t="s">
        <v>17</v>
      </c>
    </row>
    <row r="268" spans="1:12" x14ac:dyDescent="0.25">
      <c r="A268" t="s">
        <v>296</v>
      </c>
      <c r="B268" t="s">
        <v>32</v>
      </c>
      <c r="C268" t="s">
        <v>14</v>
      </c>
      <c r="D268">
        <v>2</v>
      </c>
      <c r="E268" t="s">
        <v>20</v>
      </c>
      <c r="F268" t="s">
        <v>16</v>
      </c>
      <c r="G268" t="s">
        <v>16</v>
      </c>
      <c r="H268" t="s">
        <v>16</v>
      </c>
      <c r="I268" t="s">
        <v>17</v>
      </c>
      <c r="J268" t="s">
        <v>17</v>
      </c>
      <c r="K268" t="s">
        <v>17</v>
      </c>
      <c r="L268" s="4" t="s">
        <v>17</v>
      </c>
    </row>
    <row r="269" spans="1:12" x14ac:dyDescent="0.25">
      <c r="A269" t="s">
        <v>297</v>
      </c>
      <c r="B269" t="s">
        <v>22</v>
      </c>
      <c r="C269" t="s">
        <v>29</v>
      </c>
      <c r="D269">
        <v>5</v>
      </c>
      <c r="E269" t="s">
        <v>20</v>
      </c>
      <c r="F269" t="s">
        <v>16</v>
      </c>
      <c r="G269" t="s">
        <v>17</v>
      </c>
      <c r="H269" t="s">
        <v>17</v>
      </c>
      <c r="I269" t="s">
        <v>17</v>
      </c>
      <c r="J269" t="s">
        <v>17</v>
      </c>
      <c r="K269" t="s">
        <v>17</v>
      </c>
      <c r="L269" s="4" t="s">
        <v>17</v>
      </c>
    </row>
    <row r="270" spans="1:12" x14ac:dyDescent="0.25">
      <c r="A270" t="s">
        <v>298</v>
      </c>
      <c r="B270" t="s">
        <v>22</v>
      </c>
      <c r="C270" t="s">
        <v>19</v>
      </c>
      <c r="D270">
        <v>0</v>
      </c>
      <c r="E270" t="s">
        <v>40</v>
      </c>
      <c r="F270" t="s">
        <v>17</v>
      </c>
      <c r="G270" t="s">
        <v>17</v>
      </c>
      <c r="H270" t="s">
        <v>17</v>
      </c>
      <c r="I270" t="s">
        <v>17</v>
      </c>
      <c r="J270" t="s">
        <v>17</v>
      </c>
      <c r="K270" t="s">
        <v>17</v>
      </c>
      <c r="L270" s="4" t="s">
        <v>17</v>
      </c>
    </row>
    <row r="271" spans="1:12" x14ac:dyDescent="0.25">
      <c r="A271" t="s">
        <v>299</v>
      </c>
      <c r="B271" t="s">
        <v>25</v>
      </c>
      <c r="C271" t="s">
        <v>36</v>
      </c>
      <c r="D271">
        <v>1</v>
      </c>
      <c r="E271" t="s">
        <v>20</v>
      </c>
      <c r="F271" t="s">
        <v>16</v>
      </c>
      <c r="G271" t="s">
        <v>17</v>
      </c>
      <c r="H271" t="s">
        <v>17</v>
      </c>
      <c r="I271" t="s">
        <v>17</v>
      </c>
      <c r="J271" t="s">
        <v>17</v>
      </c>
      <c r="K271" t="s">
        <v>17</v>
      </c>
      <c r="L271" s="4" t="s">
        <v>17</v>
      </c>
    </row>
    <row r="272" spans="1:12" x14ac:dyDescent="0.25">
      <c r="A272" t="s">
        <v>300</v>
      </c>
      <c r="B272" t="s">
        <v>32</v>
      </c>
      <c r="C272" t="s">
        <v>33</v>
      </c>
      <c r="D272">
        <v>2</v>
      </c>
      <c r="E272" t="s">
        <v>23</v>
      </c>
      <c r="F272" t="s">
        <v>17</v>
      </c>
      <c r="G272" t="s">
        <v>17</v>
      </c>
      <c r="H272" t="s">
        <v>17</v>
      </c>
      <c r="I272" t="s">
        <v>17</v>
      </c>
      <c r="J272" t="s">
        <v>17</v>
      </c>
      <c r="K272" t="s">
        <v>17</v>
      </c>
      <c r="L272" s="4" t="s">
        <v>17</v>
      </c>
    </row>
    <row r="273" spans="1:12" x14ac:dyDescent="0.25">
      <c r="A273" t="s">
        <v>301</v>
      </c>
      <c r="B273" t="s">
        <v>32</v>
      </c>
      <c r="C273" t="s">
        <v>29</v>
      </c>
      <c r="D273">
        <v>5</v>
      </c>
      <c r="E273" t="s">
        <v>30</v>
      </c>
      <c r="F273" t="s">
        <v>16</v>
      </c>
      <c r="G273" t="s">
        <v>16</v>
      </c>
      <c r="H273" t="s">
        <v>16</v>
      </c>
      <c r="I273" t="s">
        <v>16</v>
      </c>
      <c r="J273" t="s">
        <v>16</v>
      </c>
      <c r="K273" t="s">
        <v>16</v>
      </c>
      <c r="L273" s="4" t="s">
        <v>16</v>
      </c>
    </row>
    <row r="274" spans="1:12" x14ac:dyDescent="0.25">
      <c r="A274" t="s">
        <v>302</v>
      </c>
      <c r="B274" t="s">
        <v>22</v>
      </c>
      <c r="C274" t="s">
        <v>29</v>
      </c>
      <c r="D274">
        <v>5</v>
      </c>
      <c r="E274" t="s">
        <v>27</v>
      </c>
      <c r="F274" t="s">
        <v>17</v>
      </c>
      <c r="G274" t="s">
        <v>17</v>
      </c>
      <c r="H274" t="s">
        <v>17</v>
      </c>
      <c r="I274" t="s">
        <v>17</v>
      </c>
      <c r="J274" t="s">
        <v>17</v>
      </c>
      <c r="K274" t="s">
        <v>17</v>
      </c>
      <c r="L274" s="4" t="s">
        <v>17</v>
      </c>
    </row>
    <row r="275" spans="1:12" x14ac:dyDescent="0.25">
      <c r="A275" t="s">
        <v>303</v>
      </c>
      <c r="B275" t="s">
        <v>22</v>
      </c>
      <c r="C275" t="s">
        <v>36</v>
      </c>
      <c r="D275">
        <v>4</v>
      </c>
      <c r="E275" t="s">
        <v>40</v>
      </c>
      <c r="F275" t="s">
        <v>16</v>
      </c>
      <c r="G275" t="s">
        <v>16</v>
      </c>
      <c r="H275" t="s">
        <v>16</v>
      </c>
      <c r="I275" t="s">
        <v>16</v>
      </c>
      <c r="J275" t="s">
        <v>16</v>
      </c>
      <c r="K275" t="s">
        <v>16</v>
      </c>
      <c r="L275" s="4" t="s">
        <v>16</v>
      </c>
    </row>
    <row r="276" spans="1:12" x14ac:dyDescent="0.25">
      <c r="A276" t="s">
        <v>304</v>
      </c>
      <c r="B276" t="s">
        <v>13</v>
      </c>
      <c r="C276" t="s">
        <v>14</v>
      </c>
      <c r="D276">
        <v>6</v>
      </c>
      <c r="E276" t="s">
        <v>15</v>
      </c>
      <c r="F276" t="s">
        <v>17</v>
      </c>
      <c r="G276" t="s">
        <v>17</v>
      </c>
      <c r="H276" t="s">
        <v>17</v>
      </c>
      <c r="I276" t="s">
        <v>17</v>
      </c>
      <c r="J276" t="s">
        <v>17</v>
      </c>
      <c r="K276" t="s">
        <v>17</v>
      </c>
      <c r="L276" s="4" t="s">
        <v>17</v>
      </c>
    </row>
    <row r="277" spans="1:12" x14ac:dyDescent="0.25">
      <c r="A277" t="s">
        <v>305</v>
      </c>
      <c r="B277" t="s">
        <v>50</v>
      </c>
      <c r="C277" t="s">
        <v>29</v>
      </c>
      <c r="D277">
        <v>1</v>
      </c>
      <c r="E277" t="s">
        <v>15</v>
      </c>
      <c r="F277" t="s">
        <v>16</v>
      </c>
      <c r="G277" t="s">
        <v>16</v>
      </c>
      <c r="H277" t="s">
        <v>16</v>
      </c>
      <c r="I277" t="s">
        <v>16</v>
      </c>
      <c r="J277" t="s">
        <v>16</v>
      </c>
      <c r="K277" t="s">
        <v>17</v>
      </c>
      <c r="L277" s="4" t="s">
        <v>17</v>
      </c>
    </row>
    <row r="278" spans="1:12" x14ac:dyDescent="0.25">
      <c r="A278" t="s">
        <v>306</v>
      </c>
      <c r="B278" t="s">
        <v>32</v>
      </c>
      <c r="C278" t="s">
        <v>19</v>
      </c>
      <c r="D278">
        <v>1</v>
      </c>
      <c r="E278" t="s">
        <v>20</v>
      </c>
      <c r="F278" t="s">
        <v>16</v>
      </c>
      <c r="G278" t="s">
        <v>16</v>
      </c>
      <c r="H278" t="s">
        <v>16</v>
      </c>
      <c r="I278" t="s">
        <v>17</v>
      </c>
      <c r="J278" t="s">
        <v>17</v>
      </c>
      <c r="K278" t="s">
        <v>17</v>
      </c>
      <c r="L278" s="4" t="s">
        <v>17</v>
      </c>
    </row>
    <row r="279" spans="1:12" x14ac:dyDescent="0.25">
      <c r="A279" t="s">
        <v>307</v>
      </c>
      <c r="B279" t="s">
        <v>13</v>
      </c>
      <c r="C279" t="s">
        <v>33</v>
      </c>
      <c r="D279">
        <v>4</v>
      </c>
      <c r="E279" t="s">
        <v>40</v>
      </c>
      <c r="F279" t="s">
        <v>17</v>
      </c>
      <c r="G279" t="s">
        <v>17</v>
      </c>
      <c r="H279" t="s">
        <v>17</v>
      </c>
      <c r="I279" t="s">
        <v>17</v>
      </c>
      <c r="J279" t="s">
        <v>17</v>
      </c>
      <c r="K279" t="s">
        <v>17</v>
      </c>
      <c r="L279" s="4" t="s">
        <v>17</v>
      </c>
    </row>
    <row r="280" spans="1:12" x14ac:dyDescent="0.25">
      <c r="A280" t="s">
        <v>308</v>
      </c>
      <c r="B280" t="s">
        <v>32</v>
      </c>
      <c r="C280" t="s">
        <v>19</v>
      </c>
      <c r="D280">
        <v>5</v>
      </c>
      <c r="E280" t="s">
        <v>27</v>
      </c>
      <c r="F280" t="s">
        <v>17</v>
      </c>
      <c r="G280" t="s">
        <v>17</v>
      </c>
      <c r="H280" t="s">
        <v>17</v>
      </c>
      <c r="I280" t="s">
        <v>17</v>
      </c>
      <c r="J280" t="s">
        <v>17</v>
      </c>
      <c r="K280" t="s">
        <v>17</v>
      </c>
      <c r="L280" s="4" t="s">
        <v>17</v>
      </c>
    </row>
    <row r="281" spans="1:12" x14ac:dyDescent="0.25">
      <c r="A281" t="s">
        <v>309</v>
      </c>
      <c r="B281" t="s">
        <v>32</v>
      </c>
      <c r="C281" t="s">
        <v>36</v>
      </c>
      <c r="D281">
        <v>4</v>
      </c>
      <c r="E281" t="s">
        <v>20</v>
      </c>
      <c r="F281" t="s">
        <v>16</v>
      </c>
      <c r="G281" t="s">
        <v>17</v>
      </c>
      <c r="H281" t="s">
        <v>17</v>
      </c>
      <c r="I281" t="s">
        <v>17</v>
      </c>
      <c r="J281" t="s">
        <v>17</v>
      </c>
      <c r="K281" t="s">
        <v>17</v>
      </c>
      <c r="L281" s="4" t="s">
        <v>17</v>
      </c>
    </row>
    <row r="282" spans="1:12" x14ac:dyDescent="0.25">
      <c r="A282" t="s">
        <v>310</v>
      </c>
      <c r="B282" t="s">
        <v>22</v>
      </c>
      <c r="C282" t="s">
        <v>33</v>
      </c>
      <c r="D282">
        <v>6</v>
      </c>
      <c r="E282" t="s">
        <v>20</v>
      </c>
      <c r="F282" t="s">
        <v>16</v>
      </c>
      <c r="G282" t="s">
        <v>17</v>
      </c>
      <c r="H282" t="s">
        <v>17</v>
      </c>
      <c r="I282" t="s">
        <v>17</v>
      </c>
      <c r="J282" t="s">
        <v>17</v>
      </c>
      <c r="K282" t="s">
        <v>17</v>
      </c>
      <c r="L282" s="4" t="s">
        <v>17</v>
      </c>
    </row>
    <row r="283" spans="1:12" x14ac:dyDescent="0.25">
      <c r="A283" t="s">
        <v>311</v>
      </c>
      <c r="B283" t="s">
        <v>13</v>
      </c>
      <c r="C283" t="s">
        <v>14</v>
      </c>
      <c r="D283">
        <v>0</v>
      </c>
      <c r="E283" t="s">
        <v>30</v>
      </c>
      <c r="F283" t="s">
        <v>16</v>
      </c>
      <c r="G283" t="s">
        <v>17</v>
      </c>
      <c r="H283" t="s">
        <v>17</v>
      </c>
      <c r="I283" t="s">
        <v>17</v>
      </c>
      <c r="J283" t="s">
        <v>17</v>
      </c>
      <c r="K283" t="s">
        <v>17</v>
      </c>
      <c r="L283" s="4" t="s">
        <v>17</v>
      </c>
    </row>
    <row r="284" spans="1:12" x14ac:dyDescent="0.25">
      <c r="A284" t="s">
        <v>312</v>
      </c>
      <c r="B284" t="s">
        <v>32</v>
      </c>
      <c r="C284" t="s">
        <v>36</v>
      </c>
      <c r="D284">
        <v>1</v>
      </c>
      <c r="E284" t="s">
        <v>15</v>
      </c>
      <c r="F284" t="s">
        <v>16</v>
      </c>
      <c r="G284" t="s">
        <v>16</v>
      </c>
      <c r="H284" t="s">
        <v>16</v>
      </c>
      <c r="I284" t="s">
        <v>16</v>
      </c>
      <c r="J284" t="s">
        <v>16</v>
      </c>
      <c r="K284" t="s">
        <v>16</v>
      </c>
      <c r="L284" s="4" t="s">
        <v>16</v>
      </c>
    </row>
    <row r="285" spans="1:12" x14ac:dyDescent="0.25">
      <c r="A285" t="s">
        <v>313</v>
      </c>
      <c r="B285" t="s">
        <v>22</v>
      </c>
      <c r="C285" t="s">
        <v>19</v>
      </c>
      <c r="D285">
        <v>1</v>
      </c>
      <c r="E285" t="s">
        <v>27</v>
      </c>
      <c r="F285" t="s">
        <v>17</v>
      </c>
      <c r="G285" t="s">
        <v>17</v>
      </c>
      <c r="H285" t="s">
        <v>17</v>
      </c>
      <c r="I285" t="s">
        <v>17</v>
      </c>
      <c r="J285" t="s">
        <v>17</v>
      </c>
      <c r="K285" t="s">
        <v>17</v>
      </c>
      <c r="L285" s="4" t="s">
        <v>17</v>
      </c>
    </row>
    <row r="286" spans="1:12" x14ac:dyDescent="0.25">
      <c r="A286" t="s">
        <v>314</v>
      </c>
      <c r="B286" t="s">
        <v>22</v>
      </c>
      <c r="C286" t="s">
        <v>36</v>
      </c>
      <c r="D286">
        <v>4</v>
      </c>
      <c r="E286" t="s">
        <v>23</v>
      </c>
      <c r="F286" t="s">
        <v>17</v>
      </c>
      <c r="G286" t="s">
        <v>17</v>
      </c>
      <c r="H286" t="s">
        <v>17</v>
      </c>
      <c r="I286" t="s">
        <v>17</v>
      </c>
      <c r="J286" t="s">
        <v>17</v>
      </c>
      <c r="K286" t="s">
        <v>17</v>
      </c>
      <c r="L286" s="4" t="s">
        <v>17</v>
      </c>
    </row>
    <row r="287" spans="1:12" x14ac:dyDescent="0.25">
      <c r="A287" t="s">
        <v>315</v>
      </c>
      <c r="B287" t="s">
        <v>32</v>
      </c>
      <c r="C287" t="s">
        <v>33</v>
      </c>
      <c r="D287">
        <v>4</v>
      </c>
      <c r="E287" t="s">
        <v>20</v>
      </c>
      <c r="F287" t="s">
        <v>16</v>
      </c>
      <c r="G287" t="s">
        <v>17</v>
      </c>
      <c r="H287" t="s">
        <v>17</v>
      </c>
      <c r="I287" t="s">
        <v>17</v>
      </c>
      <c r="J287" t="s">
        <v>17</v>
      </c>
      <c r="K287" t="s">
        <v>17</v>
      </c>
      <c r="L287" s="4" t="s">
        <v>17</v>
      </c>
    </row>
    <row r="288" spans="1:12" x14ac:dyDescent="0.25">
      <c r="A288" t="s">
        <v>316</v>
      </c>
      <c r="B288" t="s">
        <v>32</v>
      </c>
      <c r="C288" t="s">
        <v>14</v>
      </c>
      <c r="D288">
        <v>2</v>
      </c>
      <c r="E288" t="s">
        <v>23</v>
      </c>
      <c r="F288" t="s">
        <v>16</v>
      </c>
      <c r="G288" t="s">
        <v>16</v>
      </c>
      <c r="H288" t="s">
        <v>16</v>
      </c>
      <c r="I288" t="s">
        <v>17</v>
      </c>
      <c r="J288" t="s">
        <v>17</v>
      </c>
      <c r="K288" t="s">
        <v>17</v>
      </c>
      <c r="L288" s="4" t="s">
        <v>17</v>
      </c>
    </row>
    <row r="289" spans="1:12" x14ac:dyDescent="0.25">
      <c r="A289" t="s">
        <v>317</v>
      </c>
      <c r="B289" t="s">
        <v>25</v>
      </c>
      <c r="C289" t="s">
        <v>33</v>
      </c>
      <c r="D289">
        <v>4</v>
      </c>
      <c r="E289" t="s">
        <v>30</v>
      </c>
      <c r="F289" t="s">
        <v>16</v>
      </c>
      <c r="G289" t="s">
        <v>17</v>
      </c>
      <c r="H289" t="s">
        <v>17</v>
      </c>
      <c r="I289" t="s">
        <v>17</v>
      </c>
      <c r="J289" t="s">
        <v>17</v>
      </c>
      <c r="K289" t="s">
        <v>17</v>
      </c>
      <c r="L289" s="4" t="s">
        <v>17</v>
      </c>
    </row>
    <row r="290" spans="1:12" x14ac:dyDescent="0.25">
      <c r="A290" t="s">
        <v>318</v>
      </c>
      <c r="B290" t="s">
        <v>50</v>
      </c>
      <c r="C290" t="s">
        <v>33</v>
      </c>
      <c r="D290">
        <v>1</v>
      </c>
      <c r="E290" t="s">
        <v>23</v>
      </c>
      <c r="F290" t="s">
        <v>16</v>
      </c>
      <c r="G290" t="s">
        <v>16</v>
      </c>
      <c r="H290" t="s">
        <v>16</v>
      </c>
      <c r="I290" t="s">
        <v>17</v>
      </c>
      <c r="J290" t="s">
        <v>17</v>
      </c>
      <c r="K290" t="s">
        <v>17</v>
      </c>
      <c r="L290" s="4" t="s">
        <v>17</v>
      </c>
    </row>
    <row r="291" spans="1:12" x14ac:dyDescent="0.25">
      <c r="A291" t="s">
        <v>319</v>
      </c>
      <c r="B291" t="s">
        <v>25</v>
      </c>
      <c r="C291" t="s">
        <v>36</v>
      </c>
      <c r="D291">
        <v>6</v>
      </c>
      <c r="E291" t="s">
        <v>23</v>
      </c>
      <c r="F291" t="s">
        <v>16</v>
      </c>
      <c r="G291" t="s">
        <v>17</v>
      </c>
      <c r="H291" t="s">
        <v>17</v>
      </c>
      <c r="I291" t="s">
        <v>17</v>
      </c>
      <c r="J291" t="s">
        <v>17</v>
      </c>
      <c r="K291" t="s">
        <v>17</v>
      </c>
      <c r="L291" s="4" t="s">
        <v>17</v>
      </c>
    </row>
    <row r="292" spans="1:12" x14ac:dyDescent="0.25">
      <c r="A292" t="s">
        <v>320</v>
      </c>
      <c r="B292" t="s">
        <v>13</v>
      </c>
      <c r="C292" t="s">
        <v>14</v>
      </c>
      <c r="D292">
        <v>3</v>
      </c>
      <c r="E292" t="s">
        <v>27</v>
      </c>
      <c r="F292" t="s">
        <v>16</v>
      </c>
      <c r="G292" t="s">
        <v>16</v>
      </c>
      <c r="H292" t="s">
        <v>16</v>
      </c>
      <c r="I292" t="s">
        <v>17</v>
      </c>
      <c r="J292" t="s">
        <v>17</v>
      </c>
      <c r="K292" t="s">
        <v>17</v>
      </c>
      <c r="L292" s="4" t="s">
        <v>17</v>
      </c>
    </row>
    <row r="293" spans="1:12" x14ac:dyDescent="0.25">
      <c r="A293" t="s">
        <v>321</v>
      </c>
      <c r="B293" t="s">
        <v>13</v>
      </c>
      <c r="C293" t="s">
        <v>33</v>
      </c>
      <c r="D293">
        <v>6</v>
      </c>
      <c r="E293" t="s">
        <v>23</v>
      </c>
      <c r="F293" t="s">
        <v>17</v>
      </c>
      <c r="G293" t="s">
        <v>17</v>
      </c>
      <c r="H293" t="s">
        <v>17</v>
      </c>
      <c r="I293" t="s">
        <v>17</v>
      </c>
      <c r="J293" t="s">
        <v>17</v>
      </c>
      <c r="K293" t="s">
        <v>17</v>
      </c>
      <c r="L293" s="4" t="s">
        <v>17</v>
      </c>
    </row>
    <row r="294" spans="1:12" x14ac:dyDescent="0.25">
      <c r="A294" t="s">
        <v>322</v>
      </c>
      <c r="B294" t="s">
        <v>13</v>
      </c>
      <c r="C294" t="s">
        <v>33</v>
      </c>
      <c r="D294">
        <v>4</v>
      </c>
      <c r="E294" t="s">
        <v>27</v>
      </c>
      <c r="F294" t="s">
        <v>17</v>
      </c>
      <c r="G294" t="s">
        <v>17</v>
      </c>
      <c r="H294" t="s">
        <v>17</v>
      </c>
      <c r="I294" t="s">
        <v>17</v>
      </c>
      <c r="J294" t="s">
        <v>17</v>
      </c>
      <c r="K294" t="s">
        <v>17</v>
      </c>
      <c r="L294" s="4" t="s">
        <v>17</v>
      </c>
    </row>
    <row r="295" spans="1:12" x14ac:dyDescent="0.25">
      <c r="A295" t="s">
        <v>323</v>
      </c>
      <c r="B295" t="s">
        <v>32</v>
      </c>
      <c r="C295" t="s">
        <v>36</v>
      </c>
      <c r="D295">
        <v>1</v>
      </c>
      <c r="E295" t="s">
        <v>30</v>
      </c>
      <c r="F295" t="s">
        <v>17</v>
      </c>
      <c r="G295" t="s">
        <v>17</v>
      </c>
      <c r="H295" t="s">
        <v>17</v>
      </c>
      <c r="I295" t="s">
        <v>17</v>
      </c>
      <c r="J295" t="s">
        <v>17</v>
      </c>
      <c r="K295" t="s">
        <v>17</v>
      </c>
      <c r="L295" s="4" t="s">
        <v>17</v>
      </c>
    </row>
    <row r="296" spans="1:12" x14ac:dyDescent="0.25">
      <c r="A296" t="s">
        <v>324</v>
      </c>
      <c r="B296" t="s">
        <v>22</v>
      </c>
      <c r="C296" t="s">
        <v>36</v>
      </c>
      <c r="D296">
        <v>6</v>
      </c>
      <c r="E296" t="s">
        <v>23</v>
      </c>
      <c r="F296" t="s">
        <v>16</v>
      </c>
      <c r="G296" t="s">
        <v>17</v>
      </c>
      <c r="H296" t="s">
        <v>17</v>
      </c>
      <c r="I296" t="s">
        <v>17</v>
      </c>
      <c r="J296" t="s">
        <v>17</v>
      </c>
      <c r="K296" t="s">
        <v>17</v>
      </c>
      <c r="L296" s="4" t="s">
        <v>17</v>
      </c>
    </row>
    <row r="297" spans="1:12" x14ac:dyDescent="0.25">
      <c r="A297" t="s">
        <v>325</v>
      </c>
      <c r="B297" t="s">
        <v>22</v>
      </c>
      <c r="C297" t="s">
        <v>33</v>
      </c>
      <c r="D297">
        <v>1</v>
      </c>
      <c r="E297" t="s">
        <v>27</v>
      </c>
      <c r="F297" t="s">
        <v>16</v>
      </c>
      <c r="G297" t="s">
        <v>16</v>
      </c>
      <c r="H297" t="s">
        <v>17</v>
      </c>
      <c r="I297" t="s">
        <v>17</v>
      </c>
      <c r="J297" t="s">
        <v>17</v>
      </c>
      <c r="K297" t="s">
        <v>17</v>
      </c>
      <c r="L297" s="4" t="s">
        <v>17</v>
      </c>
    </row>
    <row r="298" spans="1:12" x14ac:dyDescent="0.25">
      <c r="A298" t="s">
        <v>326</v>
      </c>
      <c r="B298" t="s">
        <v>22</v>
      </c>
      <c r="C298" t="s">
        <v>36</v>
      </c>
      <c r="D298">
        <v>1</v>
      </c>
      <c r="E298" t="s">
        <v>23</v>
      </c>
      <c r="F298" t="s">
        <v>16</v>
      </c>
      <c r="G298" t="s">
        <v>16</v>
      </c>
      <c r="H298" t="s">
        <v>16</v>
      </c>
      <c r="I298" t="s">
        <v>17</v>
      </c>
      <c r="J298" t="s">
        <v>17</v>
      </c>
      <c r="K298" t="s">
        <v>17</v>
      </c>
      <c r="L298" s="4" t="s">
        <v>17</v>
      </c>
    </row>
    <row r="299" spans="1:12" x14ac:dyDescent="0.25">
      <c r="A299" t="s">
        <v>327</v>
      </c>
      <c r="B299" t="s">
        <v>25</v>
      </c>
      <c r="C299" t="s">
        <v>36</v>
      </c>
      <c r="D299">
        <v>0</v>
      </c>
      <c r="E299" t="s">
        <v>20</v>
      </c>
      <c r="F299" t="s">
        <v>16</v>
      </c>
      <c r="G299" t="s">
        <v>16</v>
      </c>
      <c r="H299" t="s">
        <v>17</v>
      </c>
      <c r="I299" t="s">
        <v>17</v>
      </c>
      <c r="J299" t="s">
        <v>17</v>
      </c>
      <c r="K299" t="s">
        <v>17</v>
      </c>
      <c r="L299" s="4" t="s">
        <v>17</v>
      </c>
    </row>
    <row r="300" spans="1:12" x14ac:dyDescent="0.25">
      <c r="A300" t="s">
        <v>328</v>
      </c>
      <c r="B300" t="s">
        <v>25</v>
      </c>
      <c r="C300" t="s">
        <v>19</v>
      </c>
      <c r="D300">
        <v>6</v>
      </c>
      <c r="E300" t="s">
        <v>15</v>
      </c>
      <c r="F300" t="s">
        <v>16</v>
      </c>
      <c r="G300" t="s">
        <v>16</v>
      </c>
      <c r="H300" t="s">
        <v>17</v>
      </c>
      <c r="I300" t="s">
        <v>17</v>
      </c>
      <c r="J300" t="s">
        <v>17</v>
      </c>
      <c r="K300" t="s">
        <v>17</v>
      </c>
      <c r="L300" s="4" t="s">
        <v>17</v>
      </c>
    </row>
    <row r="301" spans="1:12" x14ac:dyDescent="0.25">
      <c r="A301" t="s">
        <v>329</v>
      </c>
      <c r="B301" t="s">
        <v>22</v>
      </c>
      <c r="C301" t="s">
        <v>36</v>
      </c>
      <c r="D301">
        <v>2</v>
      </c>
      <c r="E301" t="s">
        <v>23</v>
      </c>
      <c r="F301" t="s">
        <v>16</v>
      </c>
      <c r="G301" t="s">
        <v>16</v>
      </c>
      <c r="H301" t="s">
        <v>16</v>
      </c>
      <c r="I301" t="s">
        <v>17</v>
      </c>
      <c r="J301" t="s">
        <v>17</v>
      </c>
      <c r="K301" t="s">
        <v>17</v>
      </c>
      <c r="L301" s="4" t="s">
        <v>17</v>
      </c>
    </row>
    <row r="302" spans="1:12" x14ac:dyDescent="0.25">
      <c r="A302" t="s">
        <v>330</v>
      </c>
      <c r="B302" t="s">
        <v>13</v>
      </c>
      <c r="C302" t="s">
        <v>14</v>
      </c>
      <c r="D302">
        <v>4</v>
      </c>
      <c r="E302" t="s">
        <v>23</v>
      </c>
      <c r="F302" t="s">
        <v>16</v>
      </c>
      <c r="G302" t="s">
        <v>16</v>
      </c>
      <c r="H302" t="s">
        <v>17</v>
      </c>
      <c r="I302" t="s">
        <v>17</v>
      </c>
      <c r="J302" t="s">
        <v>17</v>
      </c>
      <c r="K302" t="s">
        <v>17</v>
      </c>
      <c r="L302" s="4" t="s">
        <v>17</v>
      </c>
    </row>
    <row r="303" spans="1:12" x14ac:dyDescent="0.25">
      <c r="A303" t="s">
        <v>331</v>
      </c>
      <c r="B303" t="s">
        <v>32</v>
      </c>
      <c r="C303" t="s">
        <v>33</v>
      </c>
      <c r="D303">
        <v>0</v>
      </c>
      <c r="E303" t="s">
        <v>40</v>
      </c>
      <c r="F303" t="s">
        <v>16</v>
      </c>
      <c r="G303" t="s">
        <v>17</v>
      </c>
      <c r="H303" t="s">
        <v>17</v>
      </c>
      <c r="I303" t="s">
        <v>17</v>
      </c>
      <c r="J303" t="s">
        <v>17</v>
      </c>
      <c r="K303" t="s">
        <v>17</v>
      </c>
      <c r="L303" s="4" t="s">
        <v>17</v>
      </c>
    </row>
    <row r="304" spans="1:12" x14ac:dyDescent="0.25">
      <c r="A304" t="s">
        <v>332</v>
      </c>
      <c r="B304" t="s">
        <v>22</v>
      </c>
      <c r="C304" t="s">
        <v>29</v>
      </c>
      <c r="D304">
        <v>0</v>
      </c>
      <c r="E304" t="s">
        <v>20</v>
      </c>
      <c r="F304" t="s">
        <v>17</v>
      </c>
      <c r="G304" t="s">
        <v>17</v>
      </c>
      <c r="H304" t="s">
        <v>17</v>
      </c>
      <c r="I304" t="s">
        <v>17</v>
      </c>
      <c r="J304" t="s">
        <v>17</v>
      </c>
      <c r="K304" t="s">
        <v>17</v>
      </c>
      <c r="L304" s="4" t="s">
        <v>17</v>
      </c>
    </row>
    <row r="305" spans="1:12" x14ac:dyDescent="0.25">
      <c r="A305" t="s">
        <v>333</v>
      </c>
      <c r="B305" t="s">
        <v>22</v>
      </c>
      <c r="C305" t="s">
        <v>29</v>
      </c>
      <c r="D305">
        <v>3</v>
      </c>
      <c r="E305" t="s">
        <v>30</v>
      </c>
      <c r="F305" t="s">
        <v>16</v>
      </c>
      <c r="G305" t="s">
        <v>17</v>
      </c>
      <c r="H305" t="s">
        <v>17</v>
      </c>
      <c r="I305" t="s">
        <v>17</v>
      </c>
      <c r="J305" t="s">
        <v>17</v>
      </c>
      <c r="K305" t="s">
        <v>17</v>
      </c>
      <c r="L305" s="4" t="s">
        <v>17</v>
      </c>
    </row>
    <row r="306" spans="1:12" x14ac:dyDescent="0.25">
      <c r="A306" t="s">
        <v>334</v>
      </c>
      <c r="B306" t="s">
        <v>22</v>
      </c>
      <c r="C306" t="s">
        <v>36</v>
      </c>
      <c r="D306">
        <v>0</v>
      </c>
      <c r="E306" t="s">
        <v>40</v>
      </c>
      <c r="F306" t="s">
        <v>16</v>
      </c>
      <c r="G306" t="s">
        <v>16</v>
      </c>
      <c r="H306" t="s">
        <v>17</v>
      </c>
      <c r="I306" t="s">
        <v>17</v>
      </c>
      <c r="J306" t="s">
        <v>17</v>
      </c>
      <c r="K306" t="s">
        <v>17</v>
      </c>
      <c r="L306" s="4" t="s">
        <v>17</v>
      </c>
    </row>
    <row r="307" spans="1:12" x14ac:dyDescent="0.25">
      <c r="A307" t="s">
        <v>335</v>
      </c>
      <c r="B307" t="s">
        <v>25</v>
      </c>
      <c r="C307" t="s">
        <v>14</v>
      </c>
      <c r="D307">
        <v>1</v>
      </c>
      <c r="E307" t="s">
        <v>30</v>
      </c>
      <c r="F307" t="s">
        <v>17</v>
      </c>
      <c r="G307" t="s">
        <v>17</v>
      </c>
      <c r="H307" t="s">
        <v>17</v>
      </c>
      <c r="I307" t="s">
        <v>17</v>
      </c>
      <c r="J307" t="s">
        <v>17</v>
      </c>
      <c r="K307" t="s">
        <v>17</v>
      </c>
      <c r="L307" s="4" t="s">
        <v>17</v>
      </c>
    </row>
    <row r="308" spans="1:12" x14ac:dyDescent="0.25">
      <c r="A308" t="s">
        <v>336</v>
      </c>
      <c r="B308" t="s">
        <v>22</v>
      </c>
      <c r="C308" t="s">
        <v>19</v>
      </c>
      <c r="D308">
        <v>6</v>
      </c>
      <c r="E308" t="s">
        <v>30</v>
      </c>
      <c r="F308" t="s">
        <v>17</v>
      </c>
      <c r="G308" t="s">
        <v>17</v>
      </c>
      <c r="H308" t="s">
        <v>17</v>
      </c>
      <c r="I308" t="s">
        <v>17</v>
      </c>
      <c r="J308" t="s">
        <v>17</v>
      </c>
      <c r="K308" t="s">
        <v>17</v>
      </c>
      <c r="L308" s="4" t="s">
        <v>17</v>
      </c>
    </row>
    <row r="309" spans="1:12" x14ac:dyDescent="0.25">
      <c r="A309" t="s">
        <v>337</v>
      </c>
      <c r="B309" t="s">
        <v>22</v>
      </c>
      <c r="C309" t="s">
        <v>29</v>
      </c>
      <c r="D309">
        <v>6</v>
      </c>
      <c r="E309" t="s">
        <v>27</v>
      </c>
      <c r="F309" t="s">
        <v>17</v>
      </c>
      <c r="G309" t="s">
        <v>17</v>
      </c>
      <c r="H309" t="s">
        <v>17</v>
      </c>
      <c r="I309" t="s">
        <v>17</v>
      </c>
      <c r="J309" t="s">
        <v>17</v>
      </c>
      <c r="K309" t="s">
        <v>17</v>
      </c>
      <c r="L309" s="4" t="s">
        <v>17</v>
      </c>
    </row>
    <row r="310" spans="1:12" x14ac:dyDescent="0.25">
      <c r="A310" t="s">
        <v>338</v>
      </c>
      <c r="B310" t="s">
        <v>22</v>
      </c>
      <c r="C310" t="s">
        <v>33</v>
      </c>
      <c r="D310">
        <v>0</v>
      </c>
      <c r="E310" t="s">
        <v>27</v>
      </c>
      <c r="F310" t="s">
        <v>16</v>
      </c>
      <c r="G310" t="s">
        <v>17</v>
      </c>
      <c r="H310" t="s">
        <v>17</v>
      </c>
      <c r="I310" t="s">
        <v>17</v>
      </c>
      <c r="J310" t="s">
        <v>17</v>
      </c>
      <c r="K310" t="s">
        <v>17</v>
      </c>
      <c r="L310" s="4" t="s">
        <v>17</v>
      </c>
    </row>
    <row r="311" spans="1:12" x14ac:dyDescent="0.25">
      <c r="A311" t="s">
        <v>339</v>
      </c>
      <c r="B311" t="s">
        <v>32</v>
      </c>
      <c r="C311" t="s">
        <v>33</v>
      </c>
      <c r="D311">
        <v>1</v>
      </c>
      <c r="E311" t="s">
        <v>20</v>
      </c>
      <c r="F311" t="s">
        <v>16</v>
      </c>
      <c r="G311" t="s">
        <v>16</v>
      </c>
      <c r="H311" t="s">
        <v>16</v>
      </c>
      <c r="I311" t="s">
        <v>16</v>
      </c>
      <c r="J311" t="s">
        <v>16</v>
      </c>
      <c r="K311" t="s">
        <v>16</v>
      </c>
      <c r="L311" s="4" t="s">
        <v>16</v>
      </c>
    </row>
    <row r="312" spans="1:12" x14ac:dyDescent="0.25">
      <c r="A312" t="s">
        <v>340</v>
      </c>
      <c r="B312" t="s">
        <v>13</v>
      </c>
      <c r="C312" t="s">
        <v>29</v>
      </c>
      <c r="D312">
        <v>4</v>
      </c>
      <c r="E312" t="s">
        <v>23</v>
      </c>
      <c r="F312" t="s">
        <v>17</v>
      </c>
      <c r="G312" t="s">
        <v>17</v>
      </c>
      <c r="H312" t="s">
        <v>17</v>
      </c>
      <c r="I312" t="s">
        <v>17</v>
      </c>
      <c r="J312" t="s">
        <v>17</v>
      </c>
      <c r="K312" t="s">
        <v>17</v>
      </c>
      <c r="L312" s="4" t="s">
        <v>17</v>
      </c>
    </row>
    <row r="313" spans="1:12" x14ac:dyDescent="0.25">
      <c r="A313" t="s">
        <v>341</v>
      </c>
      <c r="B313" t="s">
        <v>22</v>
      </c>
      <c r="C313" t="s">
        <v>19</v>
      </c>
      <c r="D313">
        <v>3</v>
      </c>
      <c r="E313" t="s">
        <v>30</v>
      </c>
      <c r="F313" t="s">
        <v>16</v>
      </c>
      <c r="G313" t="s">
        <v>16</v>
      </c>
      <c r="H313" t="s">
        <v>17</v>
      </c>
      <c r="I313" t="s">
        <v>17</v>
      </c>
      <c r="J313" t="s">
        <v>17</v>
      </c>
      <c r="K313" t="s">
        <v>17</v>
      </c>
      <c r="L313" s="4" t="s">
        <v>17</v>
      </c>
    </row>
    <row r="314" spans="1:12" x14ac:dyDescent="0.25">
      <c r="A314" t="s">
        <v>342</v>
      </c>
      <c r="B314" t="s">
        <v>22</v>
      </c>
      <c r="C314" t="s">
        <v>14</v>
      </c>
      <c r="D314">
        <v>2</v>
      </c>
      <c r="E314" t="s">
        <v>15</v>
      </c>
      <c r="F314" t="s">
        <v>16</v>
      </c>
      <c r="G314" t="s">
        <v>16</v>
      </c>
      <c r="H314" t="s">
        <v>16</v>
      </c>
      <c r="I314" t="s">
        <v>16</v>
      </c>
      <c r="J314" t="s">
        <v>16</v>
      </c>
      <c r="K314" t="s">
        <v>16</v>
      </c>
      <c r="L314" s="4" t="s">
        <v>16</v>
      </c>
    </row>
    <row r="315" spans="1:12" x14ac:dyDescent="0.25">
      <c r="A315" t="s">
        <v>343</v>
      </c>
      <c r="B315" t="s">
        <v>22</v>
      </c>
      <c r="C315" t="s">
        <v>36</v>
      </c>
      <c r="D315">
        <v>1</v>
      </c>
      <c r="E315" t="s">
        <v>40</v>
      </c>
      <c r="F315" t="s">
        <v>16</v>
      </c>
      <c r="G315" t="s">
        <v>16</v>
      </c>
      <c r="H315" t="s">
        <v>16</v>
      </c>
      <c r="I315" t="s">
        <v>17</v>
      </c>
      <c r="J315" t="s">
        <v>17</v>
      </c>
      <c r="K315" t="s">
        <v>17</v>
      </c>
      <c r="L315" s="4" t="s">
        <v>17</v>
      </c>
    </row>
    <row r="316" spans="1:12" x14ac:dyDescent="0.25">
      <c r="A316" t="s">
        <v>344</v>
      </c>
      <c r="B316" t="s">
        <v>50</v>
      </c>
      <c r="C316" t="s">
        <v>19</v>
      </c>
      <c r="D316">
        <v>6</v>
      </c>
      <c r="E316" t="s">
        <v>27</v>
      </c>
      <c r="F316" t="s">
        <v>16</v>
      </c>
      <c r="G316" t="s">
        <v>17</v>
      </c>
      <c r="H316" t="s">
        <v>17</v>
      </c>
      <c r="I316" t="s">
        <v>17</v>
      </c>
      <c r="J316" t="s">
        <v>17</v>
      </c>
      <c r="K316" t="s">
        <v>17</v>
      </c>
      <c r="L316" s="4" t="s">
        <v>17</v>
      </c>
    </row>
    <row r="317" spans="1:12" x14ac:dyDescent="0.25">
      <c r="A317" t="s">
        <v>345</v>
      </c>
      <c r="B317" t="s">
        <v>50</v>
      </c>
      <c r="C317" t="s">
        <v>36</v>
      </c>
      <c r="D317">
        <v>1</v>
      </c>
      <c r="E317" t="s">
        <v>15</v>
      </c>
      <c r="F317" t="s">
        <v>17</v>
      </c>
      <c r="G317" t="s">
        <v>17</v>
      </c>
      <c r="H317" t="s">
        <v>17</v>
      </c>
      <c r="I317" t="s">
        <v>17</v>
      </c>
      <c r="J317" t="s">
        <v>17</v>
      </c>
      <c r="K317" t="s">
        <v>17</v>
      </c>
      <c r="L317" s="4" t="s">
        <v>17</v>
      </c>
    </row>
    <row r="318" spans="1:12" x14ac:dyDescent="0.25">
      <c r="A318" t="s">
        <v>346</v>
      </c>
      <c r="B318" t="s">
        <v>32</v>
      </c>
      <c r="C318" t="s">
        <v>33</v>
      </c>
      <c r="D318">
        <v>4</v>
      </c>
      <c r="E318" t="s">
        <v>27</v>
      </c>
      <c r="F318" t="s">
        <v>16</v>
      </c>
      <c r="G318" t="s">
        <v>16</v>
      </c>
      <c r="H318" t="s">
        <v>16</v>
      </c>
      <c r="I318" t="s">
        <v>17</v>
      </c>
      <c r="J318" t="s">
        <v>17</v>
      </c>
      <c r="K318" t="s">
        <v>17</v>
      </c>
      <c r="L318" s="4" t="s">
        <v>17</v>
      </c>
    </row>
    <row r="319" spans="1:12" x14ac:dyDescent="0.25">
      <c r="A319" t="s">
        <v>347</v>
      </c>
      <c r="B319" t="s">
        <v>13</v>
      </c>
      <c r="C319" t="s">
        <v>14</v>
      </c>
      <c r="D319">
        <v>1</v>
      </c>
      <c r="E319" t="s">
        <v>23</v>
      </c>
      <c r="F319" t="s">
        <v>17</v>
      </c>
      <c r="G319" t="s">
        <v>17</v>
      </c>
      <c r="H319" t="s">
        <v>17</v>
      </c>
      <c r="I319" t="s">
        <v>17</v>
      </c>
      <c r="J319" t="s">
        <v>17</v>
      </c>
      <c r="K319" t="s">
        <v>17</v>
      </c>
      <c r="L319" s="4" t="s">
        <v>17</v>
      </c>
    </row>
    <row r="320" spans="1:12" x14ac:dyDescent="0.25">
      <c r="A320" t="s">
        <v>348</v>
      </c>
      <c r="B320" t="s">
        <v>25</v>
      </c>
      <c r="C320" t="s">
        <v>14</v>
      </c>
      <c r="D320">
        <v>3</v>
      </c>
      <c r="E320" t="s">
        <v>20</v>
      </c>
      <c r="F320" t="s">
        <v>16</v>
      </c>
      <c r="G320" t="s">
        <v>16</v>
      </c>
      <c r="H320" t="s">
        <v>16</v>
      </c>
      <c r="I320" t="s">
        <v>16</v>
      </c>
      <c r="J320" t="s">
        <v>16</v>
      </c>
      <c r="K320" t="s">
        <v>16</v>
      </c>
      <c r="L320" s="4" t="s">
        <v>16</v>
      </c>
    </row>
    <row r="321" spans="1:12" x14ac:dyDescent="0.25">
      <c r="A321" t="s">
        <v>349</v>
      </c>
      <c r="B321" t="s">
        <v>22</v>
      </c>
      <c r="C321" t="s">
        <v>36</v>
      </c>
      <c r="D321">
        <v>4</v>
      </c>
      <c r="E321" t="s">
        <v>30</v>
      </c>
      <c r="F321" t="s">
        <v>16</v>
      </c>
      <c r="G321" t="s">
        <v>16</v>
      </c>
      <c r="H321" t="s">
        <v>17</v>
      </c>
      <c r="I321" t="s">
        <v>17</v>
      </c>
      <c r="J321" t="s">
        <v>17</v>
      </c>
      <c r="K321" t="s">
        <v>17</v>
      </c>
      <c r="L321" s="4" t="s">
        <v>17</v>
      </c>
    </row>
    <row r="322" spans="1:12" x14ac:dyDescent="0.25">
      <c r="A322" t="s">
        <v>350</v>
      </c>
      <c r="B322" t="s">
        <v>22</v>
      </c>
      <c r="C322" t="s">
        <v>33</v>
      </c>
      <c r="D322">
        <v>6</v>
      </c>
      <c r="E322" t="s">
        <v>40</v>
      </c>
      <c r="F322" t="s">
        <v>16</v>
      </c>
      <c r="G322" t="s">
        <v>16</v>
      </c>
      <c r="H322" t="s">
        <v>16</v>
      </c>
      <c r="I322" t="s">
        <v>16</v>
      </c>
      <c r="J322" t="s">
        <v>16</v>
      </c>
      <c r="K322" t="s">
        <v>16</v>
      </c>
      <c r="L322" s="4" t="s">
        <v>16</v>
      </c>
    </row>
    <row r="323" spans="1:12" x14ac:dyDescent="0.25">
      <c r="A323" t="s">
        <v>351</v>
      </c>
      <c r="B323" t="s">
        <v>32</v>
      </c>
      <c r="C323" t="s">
        <v>29</v>
      </c>
      <c r="D323">
        <v>5</v>
      </c>
      <c r="E323" t="s">
        <v>15</v>
      </c>
      <c r="F323" t="s">
        <v>16</v>
      </c>
      <c r="G323" t="s">
        <v>16</v>
      </c>
      <c r="H323" t="s">
        <v>16</v>
      </c>
      <c r="I323" t="s">
        <v>16</v>
      </c>
      <c r="J323" t="s">
        <v>17</v>
      </c>
      <c r="K323" t="s">
        <v>17</v>
      </c>
      <c r="L323" s="4" t="s">
        <v>17</v>
      </c>
    </row>
    <row r="324" spans="1:12" x14ac:dyDescent="0.25">
      <c r="A324" t="s">
        <v>352</v>
      </c>
      <c r="B324" t="s">
        <v>50</v>
      </c>
      <c r="C324" t="s">
        <v>14</v>
      </c>
      <c r="D324">
        <v>3</v>
      </c>
      <c r="E324" t="s">
        <v>40</v>
      </c>
      <c r="F324" t="s">
        <v>16</v>
      </c>
      <c r="G324" t="s">
        <v>16</v>
      </c>
      <c r="H324" t="s">
        <v>16</v>
      </c>
      <c r="I324" t="s">
        <v>17</v>
      </c>
      <c r="J324" t="s">
        <v>17</v>
      </c>
      <c r="K324" t="s">
        <v>17</v>
      </c>
      <c r="L324" s="4" t="s">
        <v>17</v>
      </c>
    </row>
    <row r="325" spans="1:12" x14ac:dyDescent="0.25">
      <c r="A325" t="s">
        <v>353</v>
      </c>
      <c r="B325" t="s">
        <v>13</v>
      </c>
      <c r="C325" t="s">
        <v>19</v>
      </c>
      <c r="D325">
        <v>2</v>
      </c>
      <c r="E325" t="s">
        <v>30</v>
      </c>
      <c r="F325" t="s">
        <v>16</v>
      </c>
      <c r="G325" t="s">
        <v>17</v>
      </c>
      <c r="H325" t="s">
        <v>17</v>
      </c>
      <c r="I325" t="s">
        <v>17</v>
      </c>
      <c r="J325" t="s">
        <v>17</v>
      </c>
      <c r="K325" t="s">
        <v>17</v>
      </c>
      <c r="L325" s="4" t="s">
        <v>17</v>
      </c>
    </row>
    <row r="326" spans="1:12" x14ac:dyDescent="0.25">
      <c r="A326" t="s">
        <v>354</v>
      </c>
      <c r="B326" t="s">
        <v>32</v>
      </c>
      <c r="C326" t="s">
        <v>14</v>
      </c>
      <c r="D326">
        <v>5</v>
      </c>
      <c r="E326" t="s">
        <v>20</v>
      </c>
      <c r="F326" t="s">
        <v>16</v>
      </c>
      <c r="G326" t="s">
        <v>17</v>
      </c>
      <c r="H326" t="s">
        <v>17</v>
      </c>
      <c r="I326" t="s">
        <v>17</v>
      </c>
      <c r="J326" t="s">
        <v>17</v>
      </c>
      <c r="K326" t="s">
        <v>17</v>
      </c>
      <c r="L326" s="4" t="s">
        <v>17</v>
      </c>
    </row>
    <row r="327" spans="1:12" x14ac:dyDescent="0.25">
      <c r="A327" t="s">
        <v>355</v>
      </c>
      <c r="B327" t="s">
        <v>22</v>
      </c>
      <c r="C327" t="s">
        <v>19</v>
      </c>
      <c r="D327">
        <v>3</v>
      </c>
      <c r="E327" t="s">
        <v>20</v>
      </c>
      <c r="F327" t="s">
        <v>16</v>
      </c>
      <c r="G327" t="s">
        <v>17</v>
      </c>
      <c r="H327" t="s">
        <v>17</v>
      </c>
      <c r="I327" t="s">
        <v>17</v>
      </c>
      <c r="J327" t="s">
        <v>17</v>
      </c>
      <c r="K327" t="s">
        <v>17</v>
      </c>
      <c r="L327" s="4" t="s">
        <v>17</v>
      </c>
    </row>
    <row r="328" spans="1:12" x14ac:dyDescent="0.25">
      <c r="A328" t="s">
        <v>356</v>
      </c>
      <c r="B328" t="s">
        <v>25</v>
      </c>
      <c r="C328" t="s">
        <v>29</v>
      </c>
      <c r="D328">
        <v>2</v>
      </c>
      <c r="E328" t="s">
        <v>30</v>
      </c>
      <c r="F328" t="s">
        <v>16</v>
      </c>
      <c r="G328" t="s">
        <v>16</v>
      </c>
      <c r="H328" t="s">
        <v>16</v>
      </c>
      <c r="I328" t="s">
        <v>17</v>
      </c>
      <c r="J328" t="s">
        <v>17</v>
      </c>
      <c r="K328" t="s">
        <v>17</v>
      </c>
      <c r="L328" s="4" t="s">
        <v>17</v>
      </c>
    </row>
    <row r="329" spans="1:12" x14ac:dyDescent="0.25">
      <c r="A329" t="s">
        <v>357</v>
      </c>
      <c r="B329" t="s">
        <v>22</v>
      </c>
      <c r="C329" t="s">
        <v>36</v>
      </c>
      <c r="D329">
        <v>2</v>
      </c>
      <c r="E329" t="s">
        <v>15</v>
      </c>
      <c r="F329" t="s">
        <v>17</v>
      </c>
      <c r="G329" t="s">
        <v>17</v>
      </c>
      <c r="H329" t="s">
        <v>17</v>
      </c>
      <c r="I329" t="s">
        <v>17</v>
      </c>
      <c r="J329" t="s">
        <v>17</v>
      </c>
      <c r="K329" t="s">
        <v>17</v>
      </c>
      <c r="L329" s="4" t="s">
        <v>17</v>
      </c>
    </row>
    <row r="330" spans="1:12" x14ac:dyDescent="0.25">
      <c r="A330" t="s">
        <v>358</v>
      </c>
      <c r="B330" t="s">
        <v>13</v>
      </c>
      <c r="C330" t="s">
        <v>14</v>
      </c>
      <c r="D330">
        <v>6</v>
      </c>
      <c r="E330" t="s">
        <v>23</v>
      </c>
      <c r="F330" t="s">
        <v>16</v>
      </c>
      <c r="G330" t="s">
        <v>17</v>
      </c>
      <c r="H330" t="s">
        <v>17</v>
      </c>
      <c r="I330" t="s">
        <v>17</v>
      </c>
      <c r="J330" t="s">
        <v>17</v>
      </c>
      <c r="K330" t="s">
        <v>17</v>
      </c>
      <c r="L330" s="4" t="s">
        <v>17</v>
      </c>
    </row>
    <row r="331" spans="1:12" x14ac:dyDescent="0.25">
      <c r="A331" t="s">
        <v>359</v>
      </c>
      <c r="B331" t="s">
        <v>25</v>
      </c>
      <c r="C331" t="s">
        <v>14</v>
      </c>
      <c r="D331">
        <v>1</v>
      </c>
      <c r="E331" t="s">
        <v>40</v>
      </c>
      <c r="F331" t="s">
        <v>16</v>
      </c>
      <c r="G331" t="s">
        <v>16</v>
      </c>
      <c r="H331" t="s">
        <v>17</v>
      </c>
      <c r="I331" t="s">
        <v>17</v>
      </c>
      <c r="J331" t="s">
        <v>17</v>
      </c>
      <c r="K331" t="s">
        <v>17</v>
      </c>
      <c r="L331" s="4" t="s">
        <v>17</v>
      </c>
    </row>
    <row r="332" spans="1:12" x14ac:dyDescent="0.25">
      <c r="A332" t="s">
        <v>360</v>
      </c>
      <c r="B332" t="s">
        <v>13</v>
      </c>
      <c r="C332" t="s">
        <v>14</v>
      </c>
      <c r="D332">
        <v>5</v>
      </c>
      <c r="E332" t="s">
        <v>40</v>
      </c>
      <c r="F332" t="s">
        <v>16</v>
      </c>
      <c r="G332" t="s">
        <v>16</v>
      </c>
      <c r="H332" t="s">
        <v>16</v>
      </c>
      <c r="I332" t="s">
        <v>17</v>
      </c>
      <c r="J332" t="s">
        <v>17</v>
      </c>
      <c r="K332" t="s">
        <v>17</v>
      </c>
      <c r="L332" s="4" t="s">
        <v>17</v>
      </c>
    </row>
    <row r="333" spans="1:12" x14ac:dyDescent="0.25">
      <c r="A333" t="s">
        <v>361</v>
      </c>
      <c r="B333" t="s">
        <v>22</v>
      </c>
      <c r="C333" t="s">
        <v>33</v>
      </c>
      <c r="D333">
        <v>2</v>
      </c>
      <c r="E333" t="s">
        <v>15</v>
      </c>
      <c r="F333" t="s">
        <v>17</v>
      </c>
      <c r="G333" t="s">
        <v>17</v>
      </c>
      <c r="H333" t="s">
        <v>17</v>
      </c>
      <c r="I333" t="s">
        <v>17</v>
      </c>
      <c r="J333" t="s">
        <v>17</v>
      </c>
      <c r="K333" t="s">
        <v>17</v>
      </c>
      <c r="L333" s="4" t="s">
        <v>17</v>
      </c>
    </row>
    <row r="334" spans="1:12" x14ac:dyDescent="0.25">
      <c r="A334" t="s">
        <v>362</v>
      </c>
      <c r="B334" t="s">
        <v>13</v>
      </c>
      <c r="C334" t="s">
        <v>36</v>
      </c>
      <c r="D334">
        <v>4</v>
      </c>
      <c r="E334" t="s">
        <v>23</v>
      </c>
      <c r="F334" t="s">
        <v>17</v>
      </c>
      <c r="G334" t="s">
        <v>17</v>
      </c>
      <c r="H334" t="s">
        <v>17</v>
      </c>
      <c r="I334" t="s">
        <v>17</v>
      </c>
      <c r="J334" t="s">
        <v>17</v>
      </c>
      <c r="K334" t="s">
        <v>17</v>
      </c>
      <c r="L334" s="4" t="s">
        <v>17</v>
      </c>
    </row>
    <row r="335" spans="1:12" x14ac:dyDescent="0.25">
      <c r="A335" t="s">
        <v>363</v>
      </c>
      <c r="B335" t="s">
        <v>22</v>
      </c>
      <c r="C335" t="s">
        <v>19</v>
      </c>
      <c r="D335">
        <v>5</v>
      </c>
      <c r="E335" t="s">
        <v>20</v>
      </c>
      <c r="F335" t="s">
        <v>16</v>
      </c>
      <c r="G335" t="s">
        <v>16</v>
      </c>
      <c r="H335" t="s">
        <v>16</v>
      </c>
      <c r="I335" t="s">
        <v>17</v>
      </c>
      <c r="J335" t="s">
        <v>17</v>
      </c>
      <c r="K335" t="s">
        <v>17</v>
      </c>
      <c r="L335" s="4" t="s">
        <v>17</v>
      </c>
    </row>
    <row r="336" spans="1:12" x14ac:dyDescent="0.25">
      <c r="A336" t="s">
        <v>364</v>
      </c>
      <c r="B336" t="s">
        <v>25</v>
      </c>
      <c r="C336" t="s">
        <v>19</v>
      </c>
      <c r="D336">
        <v>5</v>
      </c>
      <c r="E336" t="s">
        <v>23</v>
      </c>
      <c r="F336" t="s">
        <v>16</v>
      </c>
      <c r="G336" t="s">
        <v>16</v>
      </c>
      <c r="H336" t="s">
        <v>17</v>
      </c>
      <c r="I336" t="s">
        <v>17</v>
      </c>
      <c r="J336" t="s">
        <v>17</v>
      </c>
      <c r="K336" t="s">
        <v>17</v>
      </c>
      <c r="L336" s="4" t="s">
        <v>17</v>
      </c>
    </row>
    <row r="337" spans="1:12" x14ac:dyDescent="0.25">
      <c r="A337" t="s">
        <v>365</v>
      </c>
      <c r="B337" t="s">
        <v>50</v>
      </c>
      <c r="C337" t="s">
        <v>29</v>
      </c>
      <c r="D337">
        <v>6</v>
      </c>
      <c r="E337" t="s">
        <v>20</v>
      </c>
      <c r="F337" t="s">
        <v>16</v>
      </c>
      <c r="G337" t="s">
        <v>16</v>
      </c>
      <c r="H337" t="s">
        <v>16</v>
      </c>
      <c r="I337" t="s">
        <v>16</v>
      </c>
      <c r="J337" t="s">
        <v>16</v>
      </c>
      <c r="K337" t="s">
        <v>16</v>
      </c>
      <c r="L337" s="4" t="s">
        <v>16</v>
      </c>
    </row>
    <row r="338" spans="1:12" x14ac:dyDescent="0.25">
      <c r="A338" t="s">
        <v>366</v>
      </c>
      <c r="B338" t="s">
        <v>22</v>
      </c>
      <c r="C338" t="s">
        <v>29</v>
      </c>
      <c r="D338">
        <v>6</v>
      </c>
      <c r="E338" t="s">
        <v>30</v>
      </c>
      <c r="F338" t="s">
        <v>17</v>
      </c>
      <c r="G338" t="s">
        <v>17</v>
      </c>
      <c r="H338" t="s">
        <v>17</v>
      </c>
      <c r="I338" t="s">
        <v>17</v>
      </c>
      <c r="J338" t="s">
        <v>17</v>
      </c>
      <c r="K338" t="s">
        <v>17</v>
      </c>
      <c r="L338" s="4" t="s">
        <v>17</v>
      </c>
    </row>
    <row r="339" spans="1:12" x14ac:dyDescent="0.25">
      <c r="A339" t="s">
        <v>367</v>
      </c>
      <c r="B339" t="s">
        <v>32</v>
      </c>
      <c r="C339" t="s">
        <v>19</v>
      </c>
      <c r="D339">
        <v>4</v>
      </c>
      <c r="E339" t="s">
        <v>20</v>
      </c>
      <c r="F339" t="s">
        <v>16</v>
      </c>
      <c r="G339" t="s">
        <v>16</v>
      </c>
      <c r="H339" t="s">
        <v>16</v>
      </c>
      <c r="I339" t="s">
        <v>17</v>
      </c>
      <c r="J339" t="s">
        <v>17</v>
      </c>
      <c r="K339" t="s">
        <v>17</v>
      </c>
      <c r="L339" s="4" t="s">
        <v>17</v>
      </c>
    </row>
    <row r="340" spans="1:12" x14ac:dyDescent="0.25">
      <c r="A340" t="s">
        <v>368</v>
      </c>
      <c r="B340" t="s">
        <v>50</v>
      </c>
      <c r="C340" t="s">
        <v>29</v>
      </c>
      <c r="D340">
        <v>0</v>
      </c>
      <c r="E340" t="s">
        <v>20</v>
      </c>
      <c r="F340" t="s">
        <v>17</v>
      </c>
      <c r="G340" t="s">
        <v>17</v>
      </c>
      <c r="H340" t="s">
        <v>17</v>
      </c>
      <c r="I340" t="s">
        <v>17</v>
      </c>
      <c r="J340" t="s">
        <v>17</v>
      </c>
      <c r="K340" t="s">
        <v>17</v>
      </c>
      <c r="L340" s="4" t="s">
        <v>17</v>
      </c>
    </row>
    <row r="341" spans="1:12" x14ac:dyDescent="0.25">
      <c r="A341" t="s">
        <v>369</v>
      </c>
      <c r="B341" t="s">
        <v>22</v>
      </c>
      <c r="C341" t="s">
        <v>36</v>
      </c>
      <c r="D341">
        <v>5</v>
      </c>
      <c r="E341" t="s">
        <v>20</v>
      </c>
      <c r="F341" t="s">
        <v>16</v>
      </c>
      <c r="G341" t="s">
        <v>17</v>
      </c>
      <c r="H341" t="s">
        <v>17</v>
      </c>
      <c r="I341" t="s">
        <v>17</v>
      </c>
      <c r="J341" t="s">
        <v>17</v>
      </c>
      <c r="K341" t="s">
        <v>17</v>
      </c>
      <c r="L341" s="4" t="s">
        <v>17</v>
      </c>
    </row>
    <row r="342" spans="1:12" x14ac:dyDescent="0.25">
      <c r="A342" t="s">
        <v>370</v>
      </c>
      <c r="B342" t="s">
        <v>22</v>
      </c>
      <c r="C342" t="s">
        <v>29</v>
      </c>
      <c r="D342">
        <v>5</v>
      </c>
      <c r="E342" t="s">
        <v>23</v>
      </c>
      <c r="F342" t="s">
        <v>16</v>
      </c>
      <c r="G342" t="s">
        <v>16</v>
      </c>
      <c r="H342" t="s">
        <v>17</v>
      </c>
      <c r="I342" t="s">
        <v>17</v>
      </c>
      <c r="J342" t="s">
        <v>17</v>
      </c>
      <c r="K342" t="s">
        <v>17</v>
      </c>
      <c r="L342" s="4" t="s">
        <v>17</v>
      </c>
    </row>
    <row r="343" spans="1:12" x14ac:dyDescent="0.25">
      <c r="A343" t="s">
        <v>371</v>
      </c>
      <c r="B343" t="s">
        <v>22</v>
      </c>
      <c r="C343" t="s">
        <v>19</v>
      </c>
      <c r="D343">
        <v>0</v>
      </c>
      <c r="E343" t="s">
        <v>15</v>
      </c>
      <c r="F343" t="s">
        <v>17</v>
      </c>
      <c r="G343" t="s">
        <v>17</v>
      </c>
      <c r="H343" t="s">
        <v>17</v>
      </c>
      <c r="I343" t="s">
        <v>17</v>
      </c>
      <c r="J343" t="s">
        <v>17</v>
      </c>
      <c r="K343" t="s">
        <v>17</v>
      </c>
      <c r="L343" s="4" t="s">
        <v>17</v>
      </c>
    </row>
    <row r="344" spans="1:12" x14ac:dyDescent="0.25">
      <c r="A344" t="s">
        <v>372</v>
      </c>
      <c r="B344" t="s">
        <v>50</v>
      </c>
      <c r="C344" t="s">
        <v>14</v>
      </c>
      <c r="D344">
        <v>6</v>
      </c>
      <c r="E344" t="s">
        <v>30</v>
      </c>
      <c r="F344" t="s">
        <v>17</v>
      </c>
      <c r="G344" t="s">
        <v>17</v>
      </c>
      <c r="H344" t="s">
        <v>17</v>
      </c>
      <c r="I344" t="s">
        <v>17</v>
      </c>
      <c r="J344" t="s">
        <v>17</v>
      </c>
      <c r="K344" t="s">
        <v>17</v>
      </c>
      <c r="L344" s="4" t="s">
        <v>17</v>
      </c>
    </row>
    <row r="345" spans="1:12" x14ac:dyDescent="0.25">
      <c r="A345" t="s">
        <v>373</v>
      </c>
      <c r="B345" t="s">
        <v>13</v>
      </c>
      <c r="C345" t="s">
        <v>29</v>
      </c>
      <c r="D345">
        <v>3</v>
      </c>
      <c r="E345" t="s">
        <v>15</v>
      </c>
      <c r="F345" t="s">
        <v>16</v>
      </c>
      <c r="G345" t="s">
        <v>17</v>
      </c>
      <c r="H345" t="s">
        <v>17</v>
      </c>
      <c r="I345" t="s">
        <v>17</v>
      </c>
      <c r="J345" t="s">
        <v>17</v>
      </c>
      <c r="K345" t="s">
        <v>17</v>
      </c>
      <c r="L345" s="4" t="s">
        <v>17</v>
      </c>
    </row>
    <row r="346" spans="1:12" x14ac:dyDescent="0.25">
      <c r="A346" t="s">
        <v>374</v>
      </c>
      <c r="B346" t="s">
        <v>32</v>
      </c>
      <c r="C346" t="s">
        <v>33</v>
      </c>
      <c r="D346">
        <v>2</v>
      </c>
      <c r="E346" t="s">
        <v>27</v>
      </c>
      <c r="F346" t="s">
        <v>16</v>
      </c>
      <c r="G346" t="s">
        <v>16</v>
      </c>
      <c r="H346" t="s">
        <v>16</v>
      </c>
      <c r="I346" t="s">
        <v>16</v>
      </c>
      <c r="J346" t="s">
        <v>17</v>
      </c>
      <c r="K346" t="s">
        <v>17</v>
      </c>
      <c r="L346" s="4" t="s">
        <v>17</v>
      </c>
    </row>
    <row r="347" spans="1:12" x14ac:dyDescent="0.25">
      <c r="A347" t="s">
        <v>375</v>
      </c>
      <c r="B347" t="s">
        <v>32</v>
      </c>
      <c r="C347" t="s">
        <v>29</v>
      </c>
      <c r="D347">
        <v>1</v>
      </c>
      <c r="E347" t="s">
        <v>27</v>
      </c>
      <c r="F347" t="s">
        <v>16</v>
      </c>
      <c r="G347" t="s">
        <v>16</v>
      </c>
      <c r="H347" t="s">
        <v>17</v>
      </c>
      <c r="I347" t="s">
        <v>17</v>
      </c>
      <c r="J347" t="s">
        <v>17</v>
      </c>
      <c r="K347" t="s">
        <v>17</v>
      </c>
      <c r="L347" s="4" t="s">
        <v>17</v>
      </c>
    </row>
    <row r="348" spans="1:12" x14ac:dyDescent="0.25">
      <c r="A348" t="s">
        <v>376</v>
      </c>
      <c r="B348" t="s">
        <v>13</v>
      </c>
      <c r="C348" t="s">
        <v>14</v>
      </c>
      <c r="D348">
        <v>4</v>
      </c>
      <c r="E348" t="s">
        <v>20</v>
      </c>
      <c r="F348" t="s">
        <v>16</v>
      </c>
      <c r="G348" t="s">
        <v>16</v>
      </c>
      <c r="H348" t="s">
        <v>16</v>
      </c>
      <c r="I348" t="s">
        <v>16</v>
      </c>
      <c r="J348" t="s">
        <v>16</v>
      </c>
      <c r="K348" t="s">
        <v>17</v>
      </c>
      <c r="L348" s="4" t="s">
        <v>17</v>
      </c>
    </row>
    <row r="349" spans="1:12" x14ac:dyDescent="0.25">
      <c r="A349" t="s">
        <v>377</v>
      </c>
      <c r="B349" t="s">
        <v>32</v>
      </c>
      <c r="C349" t="s">
        <v>29</v>
      </c>
      <c r="D349">
        <v>5</v>
      </c>
      <c r="E349" t="s">
        <v>27</v>
      </c>
      <c r="F349" t="s">
        <v>16</v>
      </c>
      <c r="G349" t="s">
        <v>17</v>
      </c>
      <c r="H349" t="s">
        <v>17</v>
      </c>
      <c r="I349" t="s">
        <v>17</v>
      </c>
      <c r="J349" t="s">
        <v>17</v>
      </c>
      <c r="K349" t="s">
        <v>17</v>
      </c>
      <c r="L349" s="4" t="s">
        <v>17</v>
      </c>
    </row>
    <row r="350" spans="1:12" x14ac:dyDescent="0.25">
      <c r="A350" t="s">
        <v>378</v>
      </c>
      <c r="B350" t="s">
        <v>50</v>
      </c>
      <c r="C350" t="s">
        <v>33</v>
      </c>
      <c r="D350">
        <v>3</v>
      </c>
      <c r="E350" t="s">
        <v>30</v>
      </c>
      <c r="F350" t="s">
        <v>16</v>
      </c>
      <c r="G350" t="s">
        <v>17</v>
      </c>
      <c r="H350" t="s">
        <v>17</v>
      </c>
      <c r="I350" t="s">
        <v>17</v>
      </c>
      <c r="J350" t="s">
        <v>17</v>
      </c>
      <c r="K350" t="s">
        <v>17</v>
      </c>
      <c r="L350" s="4" t="s">
        <v>17</v>
      </c>
    </row>
    <row r="351" spans="1:12" x14ac:dyDescent="0.25">
      <c r="A351" t="s">
        <v>379</v>
      </c>
      <c r="B351" t="s">
        <v>22</v>
      </c>
      <c r="C351" t="s">
        <v>29</v>
      </c>
      <c r="D351">
        <v>3</v>
      </c>
      <c r="E351" t="s">
        <v>15</v>
      </c>
      <c r="F351" t="s">
        <v>17</v>
      </c>
      <c r="G351" t="s">
        <v>17</v>
      </c>
      <c r="H351" t="s">
        <v>17</v>
      </c>
      <c r="I351" t="s">
        <v>17</v>
      </c>
      <c r="J351" t="s">
        <v>17</v>
      </c>
      <c r="K351" t="s">
        <v>17</v>
      </c>
      <c r="L351" s="4" t="s">
        <v>17</v>
      </c>
    </row>
    <row r="352" spans="1:12" x14ac:dyDescent="0.25">
      <c r="A352" t="s">
        <v>380</v>
      </c>
      <c r="B352" t="s">
        <v>32</v>
      </c>
      <c r="C352" t="s">
        <v>33</v>
      </c>
      <c r="D352">
        <v>0</v>
      </c>
      <c r="E352" t="s">
        <v>20</v>
      </c>
      <c r="F352" t="s">
        <v>16</v>
      </c>
      <c r="G352" t="s">
        <v>17</v>
      </c>
      <c r="H352" t="s">
        <v>17</v>
      </c>
      <c r="I352" t="s">
        <v>17</v>
      </c>
      <c r="J352" t="s">
        <v>17</v>
      </c>
      <c r="K352" t="s">
        <v>17</v>
      </c>
      <c r="L352" s="4" t="s">
        <v>17</v>
      </c>
    </row>
    <row r="353" spans="1:12" x14ac:dyDescent="0.25">
      <c r="A353" t="s">
        <v>381</v>
      </c>
      <c r="B353" t="s">
        <v>50</v>
      </c>
      <c r="C353" t="s">
        <v>29</v>
      </c>
      <c r="D353">
        <v>6</v>
      </c>
      <c r="E353" t="s">
        <v>40</v>
      </c>
      <c r="F353" t="s">
        <v>16</v>
      </c>
      <c r="G353" t="s">
        <v>17</v>
      </c>
      <c r="H353" t="s">
        <v>17</v>
      </c>
      <c r="I353" t="s">
        <v>17</v>
      </c>
      <c r="J353" t="s">
        <v>17</v>
      </c>
      <c r="K353" t="s">
        <v>17</v>
      </c>
      <c r="L353" s="4" t="s">
        <v>17</v>
      </c>
    </row>
    <row r="354" spans="1:12" x14ac:dyDescent="0.25">
      <c r="A354" t="s">
        <v>382</v>
      </c>
      <c r="B354" t="s">
        <v>22</v>
      </c>
      <c r="C354" t="s">
        <v>29</v>
      </c>
      <c r="D354">
        <v>0</v>
      </c>
      <c r="E354" t="s">
        <v>15</v>
      </c>
      <c r="F354" t="s">
        <v>16</v>
      </c>
      <c r="G354" t="s">
        <v>16</v>
      </c>
      <c r="H354" t="s">
        <v>17</v>
      </c>
      <c r="I354" t="s">
        <v>17</v>
      </c>
      <c r="J354" t="s">
        <v>17</v>
      </c>
      <c r="K354" t="s">
        <v>17</v>
      </c>
      <c r="L354" s="4" t="s">
        <v>17</v>
      </c>
    </row>
    <row r="355" spans="1:12" x14ac:dyDescent="0.25">
      <c r="A355" t="s">
        <v>383</v>
      </c>
      <c r="B355" t="s">
        <v>13</v>
      </c>
      <c r="C355" t="s">
        <v>33</v>
      </c>
      <c r="D355">
        <v>3</v>
      </c>
      <c r="E355" t="s">
        <v>23</v>
      </c>
      <c r="F355" t="s">
        <v>16</v>
      </c>
      <c r="G355" t="s">
        <v>16</v>
      </c>
      <c r="H355" t="s">
        <v>16</v>
      </c>
      <c r="I355" t="s">
        <v>16</v>
      </c>
      <c r="J355" t="s">
        <v>16</v>
      </c>
      <c r="K355" t="s">
        <v>16</v>
      </c>
      <c r="L355" s="4" t="s">
        <v>17</v>
      </c>
    </row>
    <row r="356" spans="1:12" x14ac:dyDescent="0.25">
      <c r="A356" t="s">
        <v>384</v>
      </c>
      <c r="B356" t="s">
        <v>22</v>
      </c>
      <c r="C356" t="s">
        <v>29</v>
      </c>
      <c r="D356">
        <v>5</v>
      </c>
      <c r="E356" t="s">
        <v>30</v>
      </c>
      <c r="F356" t="s">
        <v>17</v>
      </c>
      <c r="G356" t="s">
        <v>17</v>
      </c>
      <c r="H356" t="s">
        <v>17</v>
      </c>
      <c r="I356" t="s">
        <v>17</v>
      </c>
      <c r="J356" t="s">
        <v>17</v>
      </c>
      <c r="K356" t="s">
        <v>17</v>
      </c>
      <c r="L356" s="4" t="s">
        <v>17</v>
      </c>
    </row>
    <row r="357" spans="1:12" x14ac:dyDescent="0.25">
      <c r="A357" t="s">
        <v>385</v>
      </c>
      <c r="B357" t="s">
        <v>50</v>
      </c>
      <c r="C357" t="s">
        <v>14</v>
      </c>
      <c r="D357">
        <v>0</v>
      </c>
      <c r="E357" t="s">
        <v>20</v>
      </c>
      <c r="F357" t="s">
        <v>16</v>
      </c>
      <c r="G357" t="s">
        <v>16</v>
      </c>
      <c r="H357" t="s">
        <v>16</v>
      </c>
      <c r="I357" t="s">
        <v>17</v>
      </c>
      <c r="J357" t="s">
        <v>17</v>
      </c>
      <c r="K357" t="s">
        <v>17</v>
      </c>
      <c r="L357" s="4" t="s">
        <v>17</v>
      </c>
    </row>
    <row r="358" spans="1:12" x14ac:dyDescent="0.25">
      <c r="A358" t="s">
        <v>386</v>
      </c>
      <c r="B358" t="s">
        <v>22</v>
      </c>
      <c r="C358" t="s">
        <v>36</v>
      </c>
      <c r="D358">
        <v>2</v>
      </c>
      <c r="E358" t="s">
        <v>30</v>
      </c>
      <c r="F358" t="s">
        <v>16</v>
      </c>
      <c r="G358" t="s">
        <v>16</v>
      </c>
      <c r="H358" t="s">
        <v>17</v>
      </c>
      <c r="I358" t="s">
        <v>17</v>
      </c>
      <c r="J358" t="s">
        <v>17</v>
      </c>
      <c r="K358" t="s">
        <v>17</v>
      </c>
      <c r="L358" s="4" t="s">
        <v>17</v>
      </c>
    </row>
    <row r="359" spans="1:12" x14ac:dyDescent="0.25">
      <c r="A359" t="s">
        <v>387</v>
      </c>
      <c r="B359" t="s">
        <v>22</v>
      </c>
      <c r="C359" t="s">
        <v>29</v>
      </c>
      <c r="D359">
        <v>0</v>
      </c>
      <c r="E359" t="s">
        <v>23</v>
      </c>
      <c r="F359" t="s">
        <v>17</v>
      </c>
      <c r="G359" t="s">
        <v>17</v>
      </c>
      <c r="H359" t="s">
        <v>17</v>
      </c>
      <c r="I359" t="s">
        <v>17</v>
      </c>
      <c r="J359" t="s">
        <v>17</v>
      </c>
      <c r="K359" t="s">
        <v>17</v>
      </c>
      <c r="L359" s="4" t="s">
        <v>17</v>
      </c>
    </row>
    <row r="360" spans="1:12" x14ac:dyDescent="0.25">
      <c r="A360" t="s">
        <v>388</v>
      </c>
      <c r="B360" t="s">
        <v>13</v>
      </c>
      <c r="C360" t="s">
        <v>14</v>
      </c>
      <c r="D360">
        <v>3</v>
      </c>
      <c r="E360" t="s">
        <v>30</v>
      </c>
      <c r="F360" t="s">
        <v>16</v>
      </c>
      <c r="G360" t="s">
        <v>16</v>
      </c>
      <c r="H360" t="s">
        <v>17</v>
      </c>
      <c r="I360" t="s">
        <v>17</v>
      </c>
      <c r="J360" t="s">
        <v>17</v>
      </c>
      <c r="K360" t="s">
        <v>17</v>
      </c>
      <c r="L360" s="4" t="s">
        <v>17</v>
      </c>
    </row>
    <row r="361" spans="1:12" x14ac:dyDescent="0.25">
      <c r="A361" t="s">
        <v>389</v>
      </c>
      <c r="B361" t="s">
        <v>13</v>
      </c>
      <c r="C361" t="s">
        <v>14</v>
      </c>
      <c r="D361">
        <v>6</v>
      </c>
      <c r="E361" t="s">
        <v>30</v>
      </c>
      <c r="F361" t="s">
        <v>16</v>
      </c>
      <c r="G361" t="s">
        <v>16</v>
      </c>
      <c r="H361" t="s">
        <v>17</v>
      </c>
      <c r="I361" t="s">
        <v>17</v>
      </c>
      <c r="J361" t="s">
        <v>17</v>
      </c>
      <c r="K361" t="s">
        <v>17</v>
      </c>
      <c r="L361" s="4" t="s">
        <v>17</v>
      </c>
    </row>
    <row r="362" spans="1:12" x14ac:dyDescent="0.25">
      <c r="A362" t="s">
        <v>390</v>
      </c>
      <c r="B362" t="s">
        <v>50</v>
      </c>
      <c r="C362" t="s">
        <v>19</v>
      </c>
      <c r="D362">
        <v>0</v>
      </c>
      <c r="E362" t="s">
        <v>15</v>
      </c>
      <c r="F362" t="s">
        <v>16</v>
      </c>
      <c r="G362" t="s">
        <v>17</v>
      </c>
      <c r="H362" t="s">
        <v>17</v>
      </c>
      <c r="I362" t="s">
        <v>17</v>
      </c>
      <c r="J362" t="s">
        <v>17</v>
      </c>
      <c r="K362" t="s">
        <v>17</v>
      </c>
      <c r="L362" s="4" t="s">
        <v>17</v>
      </c>
    </row>
    <row r="363" spans="1:12" x14ac:dyDescent="0.25">
      <c r="A363" t="s">
        <v>391</v>
      </c>
      <c r="B363" t="s">
        <v>25</v>
      </c>
      <c r="C363" t="s">
        <v>33</v>
      </c>
      <c r="D363">
        <v>0</v>
      </c>
      <c r="E363" t="s">
        <v>40</v>
      </c>
      <c r="F363" t="s">
        <v>16</v>
      </c>
      <c r="G363" t="s">
        <v>16</v>
      </c>
      <c r="H363" t="s">
        <v>16</v>
      </c>
      <c r="I363" t="s">
        <v>17</v>
      </c>
      <c r="J363" t="s">
        <v>17</v>
      </c>
      <c r="K363" t="s">
        <v>17</v>
      </c>
      <c r="L363" s="4" t="s">
        <v>17</v>
      </c>
    </row>
    <row r="364" spans="1:12" x14ac:dyDescent="0.25">
      <c r="A364" t="s">
        <v>392</v>
      </c>
      <c r="B364" t="s">
        <v>22</v>
      </c>
      <c r="C364" t="s">
        <v>19</v>
      </c>
      <c r="D364">
        <v>0</v>
      </c>
      <c r="E364" t="s">
        <v>15</v>
      </c>
      <c r="F364" t="s">
        <v>16</v>
      </c>
      <c r="G364" t="s">
        <v>17</v>
      </c>
      <c r="H364" t="s">
        <v>17</v>
      </c>
      <c r="I364" t="s">
        <v>17</v>
      </c>
      <c r="J364" t="s">
        <v>17</v>
      </c>
      <c r="K364" t="s">
        <v>17</v>
      </c>
      <c r="L364" s="4" t="s">
        <v>17</v>
      </c>
    </row>
    <row r="365" spans="1:12" x14ac:dyDescent="0.25">
      <c r="A365" t="s">
        <v>393</v>
      </c>
      <c r="B365" t="s">
        <v>13</v>
      </c>
      <c r="C365" t="s">
        <v>36</v>
      </c>
      <c r="D365">
        <v>0</v>
      </c>
      <c r="E365" t="s">
        <v>27</v>
      </c>
      <c r="F365" t="s">
        <v>16</v>
      </c>
      <c r="G365" t="s">
        <v>16</v>
      </c>
      <c r="H365" t="s">
        <v>17</v>
      </c>
      <c r="I365" t="s">
        <v>17</v>
      </c>
      <c r="J365" t="s">
        <v>17</v>
      </c>
      <c r="K365" t="s">
        <v>17</v>
      </c>
      <c r="L365" s="4" t="s">
        <v>17</v>
      </c>
    </row>
    <row r="366" spans="1:12" x14ac:dyDescent="0.25">
      <c r="A366" t="s">
        <v>394</v>
      </c>
      <c r="B366" t="s">
        <v>32</v>
      </c>
      <c r="C366" t="s">
        <v>19</v>
      </c>
      <c r="D366">
        <v>2</v>
      </c>
      <c r="E366" t="s">
        <v>30</v>
      </c>
      <c r="F366" t="s">
        <v>17</v>
      </c>
      <c r="G366" t="s">
        <v>17</v>
      </c>
      <c r="H366" t="s">
        <v>17</v>
      </c>
      <c r="I366" t="s">
        <v>17</v>
      </c>
      <c r="J366" t="s">
        <v>17</v>
      </c>
      <c r="K366" t="s">
        <v>17</v>
      </c>
      <c r="L366" s="4" t="s">
        <v>17</v>
      </c>
    </row>
    <row r="367" spans="1:12" x14ac:dyDescent="0.25">
      <c r="A367" t="s">
        <v>395</v>
      </c>
      <c r="B367" t="s">
        <v>22</v>
      </c>
      <c r="C367" t="s">
        <v>19</v>
      </c>
      <c r="D367">
        <v>5</v>
      </c>
      <c r="E367" t="s">
        <v>40</v>
      </c>
      <c r="F367" t="s">
        <v>16</v>
      </c>
      <c r="G367" t="s">
        <v>17</v>
      </c>
      <c r="H367" t="s">
        <v>17</v>
      </c>
      <c r="I367" t="s">
        <v>17</v>
      </c>
      <c r="J367" t="s">
        <v>17</v>
      </c>
      <c r="K367" t="s">
        <v>17</v>
      </c>
      <c r="L367" s="4" t="s">
        <v>17</v>
      </c>
    </row>
    <row r="368" spans="1:12" x14ac:dyDescent="0.25">
      <c r="A368" t="s">
        <v>396</v>
      </c>
      <c r="B368" t="s">
        <v>22</v>
      </c>
      <c r="C368" t="s">
        <v>36</v>
      </c>
      <c r="D368">
        <v>6</v>
      </c>
      <c r="E368" t="s">
        <v>40</v>
      </c>
      <c r="F368" t="s">
        <v>16</v>
      </c>
      <c r="G368" t="s">
        <v>17</v>
      </c>
      <c r="H368" t="s">
        <v>17</v>
      </c>
      <c r="I368" t="s">
        <v>17</v>
      </c>
      <c r="J368" t="s">
        <v>17</v>
      </c>
      <c r="K368" t="s">
        <v>17</v>
      </c>
      <c r="L368" s="4" t="s">
        <v>17</v>
      </c>
    </row>
    <row r="369" spans="1:12" x14ac:dyDescent="0.25">
      <c r="A369" t="s">
        <v>397</v>
      </c>
      <c r="B369" t="s">
        <v>50</v>
      </c>
      <c r="C369" t="s">
        <v>36</v>
      </c>
      <c r="D369">
        <v>6</v>
      </c>
      <c r="E369" t="s">
        <v>27</v>
      </c>
      <c r="F369" t="s">
        <v>16</v>
      </c>
      <c r="G369" t="s">
        <v>16</v>
      </c>
      <c r="H369" t="s">
        <v>17</v>
      </c>
      <c r="I369" t="s">
        <v>17</v>
      </c>
      <c r="J369" t="s">
        <v>17</v>
      </c>
      <c r="K369" t="s">
        <v>17</v>
      </c>
      <c r="L369" s="4" t="s">
        <v>17</v>
      </c>
    </row>
    <row r="370" spans="1:12" x14ac:dyDescent="0.25">
      <c r="A370" t="s">
        <v>398</v>
      </c>
      <c r="B370" t="s">
        <v>32</v>
      </c>
      <c r="C370" t="s">
        <v>36</v>
      </c>
      <c r="D370">
        <v>3</v>
      </c>
      <c r="E370" t="s">
        <v>30</v>
      </c>
      <c r="F370" t="s">
        <v>16</v>
      </c>
      <c r="G370" t="s">
        <v>17</v>
      </c>
      <c r="H370" t="s">
        <v>17</v>
      </c>
      <c r="I370" t="s">
        <v>17</v>
      </c>
      <c r="J370" t="s">
        <v>17</v>
      </c>
      <c r="K370" t="s">
        <v>17</v>
      </c>
      <c r="L370" s="4" t="s">
        <v>17</v>
      </c>
    </row>
    <row r="371" spans="1:12" x14ac:dyDescent="0.25">
      <c r="A371" t="s">
        <v>399</v>
      </c>
      <c r="B371" t="s">
        <v>32</v>
      </c>
      <c r="C371" t="s">
        <v>29</v>
      </c>
      <c r="D371">
        <v>2</v>
      </c>
      <c r="E371" t="s">
        <v>15</v>
      </c>
      <c r="F371" t="s">
        <v>16</v>
      </c>
      <c r="G371" t="s">
        <v>16</v>
      </c>
      <c r="H371" t="s">
        <v>16</v>
      </c>
      <c r="I371" t="s">
        <v>17</v>
      </c>
      <c r="J371" t="s">
        <v>17</v>
      </c>
      <c r="K371" t="s">
        <v>17</v>
      </c>
      <c r="L371" s="4" t="s">
        <v>17</v>
      </c>
    </row>
    <row r="372" spans="1:12" x14ac:dyDescent="0.25">
      <c r="A372" t="s">
        <v>400</v>
      </c>
      <c r="B372" t="s">
        <v>13</v>
      </c>
      <c r="C372" t="s">
        <v>29</v>
      </c>
      <c r="D372">
        <v>2</v>
      </c>
      <c r="E372" t="s">
        <v>27</v>
      </c>
      <c r="F372" t="s">
        <v>16</v>
      </c>
      <c r="G372" t="s">
        <v>16</v>
      </c>
      <c r="H372" t="s">
        <v>16</v>
      </c>
      <c r="I372" t="s">
        <v>16</v>
      </c>
      <c r="J372" t="s">
        <v>16</v>
      </c>
      <c r="K372" t="s">
        <v>16</v>
      </c>
      <c r="L372" s="4" t="s">
        <v>16</v>
      </c>
    </row>
    <row r="373" spans="1:12" x14ac:dyDescent="0.25">
      <c r="A373" t="s">
        <v>401</v>
      </c>
      <c r="B373" t="s">
        <v>32</v>
      </c>
      <c r="C373" t="s">
        <v>33</v>
      </c>
      <c r="D373">
        <v>3</v>
      </c>
      <c r="E373" t="s">
        <v>40</v>
      </c>
      <c r="F373" t="s">
        <v>16</v>
      </c>
      <c r="G373" t="s">
        <v>16</v>
      </c>
      <c r="H373" t="s">
        <v>16</v>
      </c>
      <c r="I373" t="s">
        <v>17</v>
      </c>
      <c r="J373" t="s">
        <v>17</v>
      </c>
      <c r="K373" t="s">
        <v>17</v>
      </c>
      <c r="L373" s="4" t="s">
        <v>17</v>
      </c>
    </row>
    <row r="374" spans="1:12" x14ac:dyDescent="0.25">
      <c r="A374" t="s">
        <v>402</v>
      </c>
      <c r="B374" t="s">
        <v>22</v>
      </c>
      <c r="C374" t="s">
        <v>36</v>
      </c>
      <c r="D374">
        <v>2</v>
      </c>
      <c r="E374" t="s">
        <v>30</v>
      </c>
      <c r="F374" t="s">
        <v>16</v>
      </c>
      <c r="G374" t="s">
        <v>16</v>
      </c>
      <c r="H374" t="s">
        <v>17</v>
      </c>
      <c r="I374" t="s">
        <v>17</v>
      </c>
      <c r="J374" t="s">
        <v>17</v>
      </c>
      <c r="K374" t="s">
        <v>17</v>
      </c>
      <c r="L374" s="4" t="s">
        <v>17</v>
      </c>
    </row>
    <row r="375" spans="1:12" x14ac:dyDescent="0.25">
      <c r="A375" t="s">
        <v>403</v>
      </c>
      <c r="B375" t="s">
        <v>50</v>
      </c>
      <c r="C375" t="s">
        <v>19</v>
      </c>
      <c r="D375">
        <v>4</v>
      </c>
      <c r="E375" t="s">
        <v>20</v>
      </c>
      <c r="F375" t="s">
        <v>16</v>
      </c>
      <c r="G375" t="s">
        <v>16</v>
      </c>
      <c r="H375" t="s">
        <v>16</v>
      </c>
      <c r="I375" t="s">
        <v>16</v>
      </c>
      <c r="J375" t="s">
        <v>16</v>
      </c>
      <c r="K375" t="s">
        <v>16</v>
      </c>
      <c r="L375" s="4" t="s">
        <v>16</v>
      </c>
    </row>
    <row r="376" spans="1:12" x14ac:dyDescent="0.25">
      <c r="A376" t="s">
        <v>404</v>
      </c>
      <c r="B376" t="s">
        <v>32</v>
      </c>
      <c r="C376" t="s">
        <v>33</v>
      </c>
      <c r="D376">
        <v>0</v>
      </c>
      <c r="E376" t="s">
        <v>27</v>
      </c>
      <c r="F376" t="s">
        <v>16</v>
      </c>
      <c r="G376" t="s">
        <v>16</v>
      </c>
      <c r="H376" t="s">
        <v>17</v>
      </c>
      <c r="I376" t="s">
        <v>17</v>
      </c>
      <c r="J376" t="s">
        <v>17</v>
      </c>
      <c r="K376" t="s">
        <v>17</v>
      </c>
      <c r="L376" s="4" t="s">
        <v>17</v>
      </c>
    </row>
    <row r="377" spans="1:12" x14ac:dyDescent="0.25">
      <c r="A377" t="s">
        <v>405</v>
      </c>
      <c r="B377" t="s">
        <v>32</v>
      </c>
      <c r="C377" t="s">
        <v>14</v>
      </c>
      <c r="D377">
        <v>0</v>
      </c>
      <c r="E377" t="s">
        <v>15</v>
      </c>
      <c r="F377" t="s">
        <v>16</v>
      </c>
      <c r="G377" t="s">
        <v>17</v>
      </c>
      <c r="H377" t="s">
        <v>17</v>
      </c>
      <c r="I377" t="s">
        <v>17</v>
      </c>
      <c r="J377" t="s">
        <v>17</v>
      </c>
      <c r="K377" t="s">
        <v>17</v>
      </c>
      <c r="L377" s="4" t="s">
        <v>17</v>
      </c>
    </row>
    <row r="378" spans="1:12" x14ac:dyDescent="0.25">
      <c r="A378" t="s">
        <v>406</v>
      </c>
      <c r="B378" t="s">
        <v>22</v>
      </c>
      <c r="C378" t="s">
        <v>33</v>
      </c>
      <c r="D378">
        <v>6</v>
      </c>
      <c r="E378" t="s">
        <v>27</v>
      </c>
      <c r="F378" t="s">
        <v>16</v>
      </c>
      <c r="G378" t="s">
        <v>16</v>
      </c>
      <c r="H378" t="s">
        <v>17</v>
      </c>
      <c r="I378" t="s">
        <v>17</v>
      </c>
      <c r="J378" t="s">
        <v>17</v>
      </c>
      <c r="K378" t="s">
        <v>17</v>
      </c>
      <c r="L378" s="4" t="s">
        <v>17</v>
      </c>
    </row>
    <row r="379" spans="1:12" x14ac:dyDescent="0.25">
      <c r="A379" t="s">
        <v>407</v>
      </c>
      <c r="B379" t="s">
        <v>13</v>
      </c>
      <c r="C379" t="s">
        <v>33</v>
      </c>
      <c r="D379">
        <v>2</v>
      </c>
      <c r="E379" t="s">
        <v>27</v>
      </c>
      <c r="F379" t="s">
        <v>16</v>
      </c>
      <c r="G379" t="s">
        <v>17</v>
      </c>
      <c r="H379" t="s">
        <v>17</v>
      </c>
      <c r="I379" t="s">
        <v>17</v>
      </c>
      <c r="J379" t="s">
        <v>17</v>
      </c>
      <c r="K379" t="s">
        <v>17</v>
      </c>
      <c r="L379" s="4" t="s">
        <v>17</v>
      </c>
    </row>
    <row r="380" spans="1:12" x14ac:dyDescent="0.25">
      <c r="A380" t="s">
        <v>408</v>
      </c>
      <c r="B380" t="s">
        <v>32</v>
      </c>
      <c r="C380" t="s">
        <v>14</v>
      </c>
      <c r="D380">
        <v>3</v>
      </c>
      <c r="E380" t="s">
        <v>27</v>
      </c>
      <c r="F380" t="s">
        <v>16</v>
      </c>
      <c r="G380" t="s">
        <v>17</v>
      </c>
      <c r="H380" t="s">
        <v>17</v>
      </c>
      <c r="I380" t="s">
        <v>17</v>
      </c>
      <c r="J380" t="s">
        <v>17</v>
      </c>
      <c r="K380" t="s">
        <v>17</v>
      </c>
      <c r="L380" s="4" t="s">
        <v>17</v>
      </c>
    </row>
    <row r="381" spans="1:12" x14ac:dyDescent="0.25">
      <c r="A381" t="s">
        <v>409</v>
      </c>
      <c r="B381" t="s">
        <v>32</v>
      </c>
      <c r="C381" t="s">
        <v>33</v>
      </c>
      <c r="D381">
        <v>1</v>
      </c>
      <c r="E381" t="s">
        <v>27</v>
      </c>
      <c r="F381" t="s">
        <v>16</v>
      </c>
      <c r="G381" t="s">
        <v>17</v>
      </c>
      <c r="H381" t="s">
        <v>17</v>
      </c>
      <c r="I381" t="s">
        <v>17</v>
      </c>
      <c r="J381" t="s">
        <v>17</v>
      </c>
      <c r="K381" t="s">
        <v>17</v>
      </c>
      <c r="L381" s="4" t="s">
        <v>17</v>
      </c>
    </row>
    <row r="382" spans="1:12" x14ac:dyDescent="0.25">
      <c r="A382" t="s">
        <v>410</v>
      </c>
      <c r="B382" t="s">
        <v>32</v>
      </c>
      <c r="C382" t="s">
        <v>14</v>
      </c>
      <c r="D382">
        <v>4</v>
      </c>
      <c r="E382" t="s">
        <v>15</v>
      </c>
      <c r="F382" t="s">
        <v>16</v>
      </c>
      <c r="G382" t="s">
        <v>16</v>
      </c>
      <c r="H382" t="s">
        <v>17</v>
      </c>
      <c r="I382" t="s">
        <v>17</v>
      </c>
      <c r="J382" t="s">
        <v>17</v>
      </c>
      <c r="K382" t="s">
        <v>17</v>
      </c>
      <c r="L382" s="4" t="s">
        <v>17</v>
      </c>
    </row>
    <row r="383" spans="1:12" x14ac:dyDescent="0.25">
      <c r="A383" t="s">
        <v>411</v>
      </c>
      <c r="B383" t="s">
        <v>32</v>
      </c>
      <c r="C383" t="s">
        <v>19</v>
      </c>
      <c r="D383">
        <v>3</v>
      </c>
      <c r="E383" t="s">
        <v>23</v>
      </c>
      <c r="F383" t="s">
        <v>16</v>
      </c>
      <c r="G383" t="s">
        <v>17</v>
      </c>
      <c r="H383" t="s">
        <v>17</v>
      </c>
      <c r="I383" t="s">
        <v>17</v>
      </c>
      <c r="J383" t="s">
        <v>17</v>
      </c>
      <c r="K383" t="s">
        <v>17</v>
      </c>
      <c r="L383" s="4" t="s">
        <v>17</v>
      </c>
    </row>
    <row r="384" spans="1:12" x14ac:dyDescent="0.25">
      <c r="A384" t="s">
        <v>412</v>
      </c>
      <c r="B384" t="s">
        <v>25</v>
      </c>
      <c r="C384" t="s">
        <v>14</v>
      </c>
      <c r="D384">
        <v>6</v>
      </c>
      <c r="E384" t="s">
        <v>30</v>
      </c>
      <c r="F384" t="s">
        <v>16</v>
      </c>
      <c r="G384" t="s">
        <v>16</v>
      </c>
      <c r="H384" t="s">
        <v>16</v>
      </c>
      <c r="I384" t="s">
        <v>16</v>
      </c>
      <c r="J384" t="s">
        <v>16</v>
      </c>
      <c r="K384" t="s">
        <v>16</v>
      </c>
      <c r="L384" s="4" t="s">
        <v>16</v>
      </c>
    </row>
    <row r="385" spans="1:12" x14ac:dyDescent="0.25">
      <c r="A385" t="s">
        <v>413</v>
      </c>
      <c r="B385" t="s">
        <v>32</v>
      </c>
      <c r="C385" t="s">
        <v>33</v>
      </c>
      <c r="D385">
        <v>4</v>
      </c>
      <c r="E385" t="s">
        <v>30</v>
      </c>
      <c r="F385" t="s">
        <v>16</v>
      </c>
      <c r="G385" t="s">
        <v>17</v>
      </c>
      <c r="H385" t="s">
        <v>17</v>
      </c>
      <c r="I385" t="s">
        <v>17</v>
      </c>
      <c r="J385" t="s">
        <v>17</v>
      </c>
      <c r="K385" t="s">
        <v>17</v>
      </c>
      <c r="L385" s="4" t="s">
        <v>17</v>
      </c>
    </row>
    <row r="386" spans="1:12" x14ac:dyDescent="0.25">
      <c r="A386" t="s">
        <v>414</v>
      </c>
      <c r="B386" t="s">
        <v>25</v>
      </c>
      <c r="C386" t="s">
        <v>36</v>
      </c>
      <c r="D386">
        <v>0</v>
      </c>
      <c r="E386" t="s">
        <v>27</v>
      </c>
      <c r="F386" t="s">
        <v>16</v>
      </c>
      <c r="G386" t="s">
        <v>17</v>
      </c>
      <c r="H386" t="s">
        <v>17</v>
      </c>
      <c r="I386" t="s">
        <v>17</v>
      </c>
      <c r="J386" t="s">
        <v>17</v>
      </c>
      <c r="K386" t="s">
        <v>17</v>
      </c>
      <c r="L386" s="4" t="s">
        <v>17</v>
      </c>
    </row>
    <row r="387" spans="1:12" x14ac:dyDescent="0.25">
      <c r="A387" t="s">
        <v>415</v>
      </c>
      <c r="B387" t="s">
        <v>32</v>
      </c>
      <c r="C387" t="s">
        <v>19</v>
      </c>
      <c r="D387">
        <v>0</v>
      </c>
      <c r="E387" t="s">
        <v>15</v>
      </c>
      <c r="F387" t="s">
        <v>16</v>
      </c>
      <c r="G387" t="s">
        <v>16</v>
      </c>
      <c r="H387" t="s">
        <v>17</v>
      </c>
      <c r="I387" t="s">
        <v>17</v>
      </c>
      <c r="J387" t="s">
        <v>17</v>
      </c>
      <c r="K387" t="s">
        <v>17</v>
      </c>
      <c r="L387" s="4" t="s">
        <v>17</v>
      </c>
    </row>
    <row r="388" spans="1:12" x14ac:dyDescent="0.25">
      <c r="A388" t="s">
        <v>416</v>
      </c>
      <c r="B388" t="s">
        <v>22</v>
      </c>
      <c r="C388" t="s">
        <v>19</v>
      </c>
      <c r="D388">
        <v>5</v>
      </c>
      <c r="E388" t="s">
        <v>23</v>
      </c>
      <c r="F388" t="s">
        <v>16</v>
      </c>
      <c r="G388" t="s">
        <v>17</v>
      </c>
      <c r="H388" t="s">
        <v>17</v>
      </c>
      <c r="I388" t="s">
        <v>17</v>
      </c>
      <c r="J388" t="s">
        <v>17</v>
      </c>
      <c r="K388" t="s">
        <v>17</v>
      </c>
      <c r="L388" s="4" t="s">
        <v>17</v>
      </c>
    </row>
    <row r="389" spans="1:12" x14ac:dyDescent="0.25">
      <c r="A389" t="s">
        <v>417</v>
      </c>
      <c r="B389" t="s">
        <v>50</v>
      </c>
      <c r="C389" t="s">
        <v>36</v>
      </c>
      <c r="D389">
        <v>0</v>
      </c>
      <c r="E389" t="s">
        <v>40</v>
      </c>
      <c r="F389" t="s">
        <v>16</v>
      </c>
      <c r="G389" t="s">
        <v>16</v>
      </c>
      <c r="H389" t="s">
        <v>16</v>
      </c>
      <c r="I389" t="s">
        <v>17</v>
      </c>
      <c r="J389" t="s">
        <v>17</v>
      </c>
      <c r="K389" t="s">
        <v>17</v>
      </c>
      <c r="L389" s="4" t="s">
        <v>17</v>
      </c>
    </row>
    <row r="390" spans="1:12" x14ac:dyDescent="0.25">
      <c r="A390" t="s">
        <v>418</v>
      </c>
      <c r="B390" t="s">
        <v>32</v>
      </c>
      <c r="C390" t="s">
        <v>36</v>
      </c>
      <c r="D390">
        <v>3</v>
      </c>
      <c r="E390" t="s">
        <v>30</v>
      </c>
      <c r="F390" t="s">
        <v>17</v>
      </c>
      <c r="G390" t="s">
        <v>17</v>
      </c>
      <c r="H390" t="s">
        <v>17</v>
      </c>
      <c r="I390" t="s">
        <v>17</v>
      </c>
      <c r="J390" t="s">
        <v>17</v>
      </c>
      <c r="K390" t="s">
        <v>17</v>
      </c>
      <c r="L390" s="4" t="s">
        <v>17</v>
      </c>
    </row>
    <row r="391" spans="1:12" x14ac:dyDescent="0.25">
      <c r="A391" t="s">
        <v>419</v>
      </c>
      <c r="B391" t="s">
        <v>32</v>
      </c>
      <c r="C391" t="s">
        <v>33</v>
      </c>
      <c r="D391">
        <v>2</v>
      </c>
      <c r="E391" t="s">
        <v>40</v>
      </c>
      <c r="F391" t="s">
        <v>16</v>
      </c>
      <c r="G391" t="s">
        <v>16</v>
      </c>
      <c r="H391" t="s">
        <v>17</v>
      </c>
      <c r="I391" t="s">
        <v>17</v>
      </c>
      <c r="J391" t="s">
        <v>17</v>
      </c>
      <c r="K391" t="s">
        <v>17</v>
      </c>
      <c r="L391" s="4" t="s">
        <v>17</v>
      </c>
    </row>
    <row r="392" spans="1:12" x14ac:dyDescent="0.25">
      <c r="A392" t="s">
        <v>420</v>
      </c>
      <c r="B392" t="s">
        <v>22</v>
      </c>
      <c r="C392" t="s">
        <v>29</v>
      </c>
      <c r="D392">
        <v>5</v>
      </c>
      <c r="E392" t="s">
        <v>15</v>
      </c>
      <c r="F392" t="s">
        <v>16</v>
      </c>
      <c r="G392" t="s">
        <v>16</v>
      </c>
      <c r="H392" t="s">
        <v>17</v>
      </c>
      <c r="I392" t="s">
        <v>17</v>
      </c>
      <c r="J392" t="s">
        <v>17</v>
      </c>
      <c r="K392" t="s">
        <v>17</v>
      </c>
      <c r="L392" s="4" t="s">
        <v>17</v>
      </c>
    </row>
    <row r="393" spans="1:12" x14ac:dyDescent="0.25">
      <c r="A393" t="s">
        <v>421</v>
      </c>
      <c r="B393" t="s">
        <v>32</v>
      </c>
      <c r="C393" t="s">
        <v>36</v>
      </c>
      <c r="D393">
        <v>0</v>
      </c>
      <c r="E393" t="s">
        <v>30</v>
      </c>
      <c r="F393" t="s">
        <v>17</v>
      </c>
      <c r="G393" t="s">
        <v>17</v>
      </c>
      <c r="H393" t="s">
        <v>17</v>
      </c>
      <c r="I393" t="s">
        <v>17</v>
      </c>
      <c r="J393" t="s">
        <v>17</v>
      </c>
      <c r="K393" t="s">
        <v>17</v>
      </c>
      <c r="L393" s="4" t="s">
        <v>17</v>
      </c>
    </row>
    <row r="394" spans="1:12" x14ac:dyDescent="0.25">
      <c r="A394" t="s">
        <v>422</v>
      </c>
      <c r="B394" t="s">
        <v>32</v>
      </c>
      <c r="C394" t="s">
        <v>14</v>
      </c>
      <c r="D394">
        <v>0</v>
      </c>
      <c r="E394" t="s">
        <v>23</v>
      </c>
      <c r="F394" t="s">
        <v>16</v>
      </c>
      <c r="G394" t="s">
        <v>17</v>
      </c>
      <c r="H394" t="s">
        <v>17</v>
      </c>
      <c r="I394" t="s">
        <v>17</v>
      </c>
      <c r="J394" t="s">
        <v>17</v>
      </c>
      <c r="K394" t="s">
        <v>17</v>
      </c>
      <c r="L394" s="4" t="s">
        <v>17</v>
      </c>
    </row>
    <row r="395" spans="1:12" x14ac:dyDescent="0.25">
      <c r="A395" t="s">
        <v>423</v>
      </c>
      <c r="B395" t="s">
        <v>13</v>
      </c>
      <c r="C395" t="s">
        <v>29</v>
      </c>
      <c r="D395">
        <v>1</v>
      </c>
      <c r="E395" t="s">
        <v>23</v>
      </c>
      <c r="F395" t="s">
        <v>16</v>
      </c>
      <c r="G395" t="s">
        <v>16</v>
      </c>
      <c r="H395" t="s">
        <v>16</v>
      </c>
      <c r="I395" t="s">
        <v>17</v>
      </c>
      <c r="J395" t="s">
        <v>17</v>
      </c>
      <c r="K395" t="s">
        <v>17</v>
      </c>
      <c r="L395" s="4" t="s">
        <v>17</v>
      </c>
    </row>
    <row r="396" spans="1:12" x14ac:dyDescent="0.25">
      <c r="A396" t="s">
        <v>424</v>
      </c>
      <c r="B396" t="s">
        <v>50</v>
      </c>
      <c r="C396" t="s">
        <v>14</v>
      </c>
      <c r="D396">
        <v>3</v>
      </c>
      <c r="E396" t="s">
        <v>23</v>
      </c>
      <c r="F396" t="s">
        <v>16</v>
      </c>
      <c r="G396" t="s">
        <v>17</v>
      </c>
      <c r="H396" t="s">
        <v>17</v>
      </c>
      <c r="I396" t="s">
        <v>17</v>
      </c>
      <c r="J396" t="s">
        <v>17</v>
      </c>
      <c r="K396" t="s">
        <v>17</v>
      </c>
      <c r="L396" s="4" t="s">
        <v>17</v>
      </c>
    </row>
    <row r="397" spans="1:12" x14ac:dyDescent="0.25">
      <c r="A397" t="s">
        <v>425</v>
      </c>
      <c r="B397" t="s">
        <v>32</v>
      </c>
      <c r="C397" t="s">
        <v>14</v>
      </c>
      <c r="D397">
        <v>4</v>
      </c>
      <c r="E397" t="s">
        <v>15</v>
      </c>
      <c r="F397" t="s">
        <v>16</v>
      </c>
      <c r="G397" t="s">
        <v>16</v>
      </c>
      <c r="H397" t="s">
        <v>16</v>
      </c>
      <c r="I397" t="s">
        <v>16</v>
      </c>
      <c r="J397" t="s">
        <v>16</v>
      </c>
      <c r="K397" t="s">
        <v>16</v>
      </c>
      <c r="L397" s="4" t="s">
        <v>16</v>
      </c>
    </row>
    <row r="398" spans="1:12" x14ac:dyDescent="0.25">
      <c r="A398" t="s">
        <v>426</v>
      </c>
      <c r="B398" t="s">
        <v>32</v>
      </c>
      <c r="C398" t="s">
        <v>29</v>
      </c>
      <c r="D398">
        <v>4</v>
      </c>
      <c r="E398" t="s">
        <v>15</v>
      </c>
      <c r="F398" t="s">
        <v>16</v>
      </c>
      <c r="G398" t="s">
        <v>16</v>
      </c>
      <c r="H398" t="s">
        <v>16</v>
      </c>
      <c r="I398" t="s">
        <v>17</v>
      </c>
      <c r="J398" t="s">
        <v>17</v>
      </c>
      <c r="K398" t="s">
        <v>17</v>
      </c>
      <c r="L398" s="4" t="s">
        <v>17</v>
      </c>
    </row>
    <row r="399" spans="1:12" x14ac:dyDescent="0.25">
      <c r="A399" t="s">
        <v>427</v>
      </c>
      <c r="B399" t="s">
        <v>32</v>
      </c>
      <c r="C399" t="s">
        <v>19</v>
      </c>
      <c r="D399">
        <v>2</v>
      </c>
      <c r="E399" t="s">
        <v>20</v>
      </c>
      <c r="F399" t="s">
        <v>16</v>
      </c>
      <c r="G399" t="s">
        <v>16</v>
      </c>
      <c r="H399" t="s">
        <v>16</v>
      </c>
      <c r="I399" t="s">
        <v>16</v>
      </c>
      <c r="J399" t="s">
        <v>16</v>
      </c>
      <c r="K399" t="s">
        <v>16</v>
      </c>
      <c r="L399" s="4" t="s">
        <v>16</v>
      </c>
    </row>
    <row r="400" spans="1:12" x14ac:dyDescent="0.25">
      <c r="A400" t="s">
        <v>428</v>
      </c>
      <c r="B400" t="s">
        <v>25</v>
      </c>
      <c r="C400" t="s">
        <v>19</v>
      </c>
      <c r="D400">
        <v>4</v>
      </c>
      <c r="E400" t="s">
        <v>40</v>
      </c>
      <c r="F400" t="s">
        <v>16</v>
      </c>
      <c r="G400" t="s">
        <v>16</v>
      </c>
      <c r="H400" t="s">
        <v>16</v>
      </c>
      <c r="I400" t="s">
        <v>16</v>
      </c>
      <c r="J400" t="s">
        <v>16</v>
      </c>
      <c r="K400" t="s">
        <v>16</v>
      </c>
      <c r="L400" s="4" t="s">
        <v>16</v>
      </c>
    </row>
    <row r="401" spans="1:12" x14ac:dyDescent="0.25">
      <c r="A401" t="s">
        <v>429</v>
      </c>
      <c r="B401" t="s">
        <v>32</v>
      </c>
      <c r="C401" t="s">
        <v>33</v>
      </c>
      <c r="D401">
        <v>3</v>
      </c>
      <c r="E401" t="s">
        <v>15</v>
      </c>
      <c r="F401" t="s">
        <v>16</v>
      </c>
      <c r="G401" t="s">
        <v>16</v>
      </c>
      <c r="H401" t="s">
        <v>17</v>
      </c>
      <c r="I401" t="s">
        <v>17</v>
      </c>
      <c r="J401" t="s">
        <v>17</v>
      </c>
      <c r="K401" t="s">
        <v>17</v>
      </c>
      <c r="L401" s="4" t="s">
        <v>17</v>
      </c>
    </row>
    <row r="402" spans="1:12" x14ac:dyDescent="0.25">
      <c r="A402" t="s">
        <v>430</v>
      </c>
      <c r="B402" t="s">
        <v>50</v>
      </c>
      <c r="C402" t="s">
        <v>14</v>
      </c>
      <c r="D402">
        <v>1</v>
      </c>
      <c r="E402" t="s">
        <v>30</v>
      </c>
      <c r="F402" t="s">
        <v>16</v>
      </c>
      <c r="G402" t="s">
        <v>16</v>
      </c>
      <c r="H402" t="s">
        <v>17</v>
      </c>
      <c r="I402" t="s">
        <v>17</v>
      </c>
      <c r="J402" t="s">
        <v>17</v>
      </c>
      <c r="K402" t="s">
        <v>17</v>
      </c>
      <c r="L402" s="4" t="s">
        <v>17</v>
      </c>
    </row>
    <row r="403" spans="1:12" x14ac:dyDescent="0.25">
      <c r="A403" t="s">
        <v>431</v>
      </c>
      <c r="B403" t="s">
        <v>13</v>
      </c>
      <c r="C403" t="s">
        <v>19</v>
      </c>
      <c r="D403">
        <v>0</v>
      </c>
      <c r="E403" t="s">
        <v>30</v>
      </c>
      <c r="F403" t="s">
        <v>16</v>
      </c>
      <c r="G403" t="s">
        <v>17</v>
      </c>
      <c r="H403" t="s">
        <v>17</v>
      </c>
      <c r="I403" t="s">
        <v>17</v>
      </c>
      <c r="J403" t="s">
        <v>17</v>
      </c>
      <c r="K403" t="s">
        <v>17</v>
      </c>
      <c r="L403" s="4" t="s">
        <v>17</v>
      </c>
    </row>
    <row r="404" spans="1:12" x14ac:dyDescent="0.25">
      <c r="A404" t="s">
        <v>432</v>
      </c>
      <c r="B404" t="s">
        <v>50</v>
      </c>
      <c r="C404" t="s">
        <v>33</v>
      </c>
      <c r="D404">
        <v>3</v>
      </c>
      <c r="E404" t="s">
        <v>30</v>
      </c>
      <c r="F404" t="s">
        <v>16</v>
      </c>
      <c r="G404" t="s">
        <v>16</v>
      </c>
      <c r="H404" t="s">
        <v>17</v>
      </c>
      <c r="I404" t="s">
        <v>17</v>
      </c>
      <c r="J404" t="s">
        <v>17</v>
      </c>
      <c r="K404" t="s">
        <v>17</v>
      </c>
      <c r="L404" s="4" t="s">
        <v>17</v>
      </c>
    </row>
    <row r="405" spans="1:12" x14ac:dyDescent="0.25">
      <c r="A405" t="s">
        <v>433</v>
      </c>
      <c r="B405" t="s">
        <v>32</v>
      </c>
      <c r="C405" t="s">
        <v>14</v>
      </c>
      <c r="D405">
        <v>0</v>
      </c>
      <c r="E405" t="s">
        <v>15</v>
      </c>
      <c r="F405" t="s">
        <v>16</v>
      </c>
      <c r="G405" t="s">
        <v>16</v>
      </c>
      <c r="H405" t="s">
        <v>16</v>
      </c>
      <c r="I405" t="s">
        <v>16</v>
      </c>
      <c r="J405" t="s">
        <v>16</v>
      </c>
      <c r="K405" t="s">
        <v>16</v>
      </c>
      <c r="L405" s="4" t="s">
        <v>16</v>
      </c>
    </row>
    <row r="406" spans="1:12" x14ac:dyDescent="0.25">
      <c r="A406" t="s">
        <v>434</v>
      </c>
      <c r="B406" t="s">
        <v>32</v>
      </c>
      <c r="C406" t="s">
        <v>14</v>
      </c>
      <c r="D406">
        <v>0</v>
      </c>
      <c r="E406" t="s">
        <v>27</v>
      </c>
      <c r="F406" t="s">
        <v>17</v>
      </c>
      <c r="G406" t="s">
        <v>17</v>
      </c>
      <c r="H406" t="s">
        <v>17</v>
      </c>
      <c r="I406" t="s">
        <v>17</v>
      </c>
      <c r="J406" t="s">
        <v>17</v>
      </c>
      <c r="K406" t="s">
        <v>17</v>
      </c>
      <c r="L406" s="4" t="s">
        <v>17</v>
      </c>
    </row>
    <row r="407" spans="1:12" x14ac:dyDescent="0.25">
      <c r="A407" t="s">
        <v>435</v>
      </c>
      <c r="B407" t="s">
        <v>25</v>
      </c>
      <c r="C407" t="s">
        <v>36</v>
      </c>
      <c r="D407">
        <v>6</v>
      </c>
      <c r="E407" t="s">
        <v>40</v>
      </c>
      <c r="F407" t="s">
        <v>17</v>
      </c>
      <c r="G407" t="s">
        <v>17</v>
      </c>
      <c r="H407" t="s">
        <v>17</v>
      </c>
      <c r="I407" t="s">
        <v>17</v>
      </c>
      <c r="J407" t="s">
        <v>17</v>
      </c>
      <c r="K407" t="s">
        <v>17</v>
      </c>
      <c r="L407" s="4" t="s">
        <v>17</v>
      </c>
    </row>
    <row r="408" spans="1:12" x14ac:dyDescent="0.25">
      <c r="A408" t="s">
        <v>436</v>
      </c>
      <c r="B408" t="s">
        <v>32</v>
      </c>
      <c r="C408" t="s">
        <v>14</v>
      </c>
      <c r="D408">
        <v>3</v>
      </c>
      <c r="E408" t="s">
        <v>40</v>
      </c>
      <c r="F408" t="s">
        <v>17</v>
      </c>
      <c r="G408" t="s">
        <v>17</v>
      </c>
      <c r="H408" t="s">
        <v>17</v>
      </c>
      <c r="I408" t="s">
        <v>17</v>
      </c>
      <c r="J408" t="s">
        <v>17</v>
      </c>
      <c r="K408" t="s">
        <v>17</v>
      </c>
      <c r="L408" s="4" t="s">
        <v>17</v>
      </c>
    </row>
    <row r="409" spans="1:12" x14ac:dyDescent="0.25">
      <c r="A409" t="s">
        <v>437</v>
      </c>
      <c r="B409" t="s">
        <v>13</v>
      </c>
      <c r="C409" t="s">
        <v>14</v>
      </c>
      <c r="D409">
        <v>6</v>
      </c>
      <c r="E409" t="s">
        <v>40</v>
      </c>
      <c r="F409" t="s">
        <v>16</v>
      </c>
      <c r="G409" t="s">
        <v>16</v>
      </c>
      <c r="H409" t="s">
        <v>17</v>
      </c>
      <c r="I409" t="s">
        <v>17</v>
      </c>
      <c r="J409" t="s">
        <v>17</v>
      </c>
      <c r="K409" t="s">
        <v>17</v>
      </c>
      <c r="L409" s="4" t="s">
        <v>17</v>
      </c>
    </row>
    <row r="410" spans="1:12" x14ac:dyDescent="0.25">
      <c r="A410" t="s">
        <v>438</v>
      </c>
      <c r="B410" t="s">
        <v>32</v>
      </c>
      <c r="C410" t="s">
        <v>19</v>
      </c>
      <c r="D410">
        <v>6</v>
      </c>
      <c r="E410" t="s">
        <v>15</v>
      </c>
      <c r="F410" t="s">
        <v>16</v>
      </c>
      <c r="G410" t="s">
        <v>17</v>
      </c>
      <c r="H410" t="s">
        <v>17</v>
      </c>
      <c r="I410" t="s">
        <v>17</v>
      </c>
      <c r="J410" t="s">
        <v>17</v>
      </c>
      <c r="K410" t="s">
        <v>17</v>
      </c>
      <c r="L410" s="4" t="s">
        <v>17</v>
      </c>
    </row>
    <row r="411" spans="1:12" x14ac:dyDescent="0.25">
      <c r="A411" t="s">
        <v>439</v>
      </c>
      <c r="B411" t="s">
        <v>13</v>
      </c>
      <c r="C411" t="s">
        <v>19</v>
      </c>
      <c r="D411">
        <v>4</v>
      </c>
      <c r="E411" t="s">
        <v>23</v>
      </c>
      <c r="F411" t="s">
        <v>16</v>
      </c>
      <c r="G411" t="s">
        <v>17</v>
      </c>
      <c r="H411" t="s">
        <v>17</v>
      </c>
      <c r="I411" t="s">
        <v>17</v>
      </c>
      <c r="J411" t="s">
        <v>17</v>
      </c>
      <c r="K411" t="s">
        <v>17</v>
      </c>
      <c r="L411" s="4" t="s">
        <v>17</v>
      </c>
    </row>
    <row r="412" spans="1:12" x14ac:dyDescent="0.25">
      <c r="A412" t="s">
        <v>440</v>
      </c>
      <c r="B412" t="s">
        <v>25</v>
      </c>
      <c r="C412" t="s">
        <v>29</v>
      </c>
      <c r="D412">
        <v>6</v>
      </c>
      <c r="E412" t="s">
        <v>40</v>
      </c>
      <c r="F412" t="s">
        <v>16</v>
      </c>
      <c r="G412" t="s">
        <v>16</v>
      </c>
      <c r="H412" t="s">
        <v>17</v>
      </c>
      <c r="I412" t="s">
        <v>17</v>
      </c>
      <c r="J412" t="s">
        <v>17</v>
      </c>
      <c r="K412" t="s">
        <v>17</v>
      </c>
      <c r="L412" s="4" t="s">
        <v>17</v>
      </c>
    </row>
    <row r="413" spans="1:12" x14ac:dyDescent="0.25">
      <c r="A413" t="s">
        <v>441</v>
      </c>
      <c r="B413" t="s">
        <v>22</v>
      </c>
      <c r="C413" t="s">
        <v>19</v>
      </c>
      <c r="D413">
        <v>2</v>
      </c>
      <c r="E413" t="s">
        <v>27</v>
      </c>
      <c r="F413" t="s">
        <v>16</v>
      </c>
      <c r="G413" t="s">
        <v>17</v>
      </c>
      <c r="H413" t="s">
        <v>17</v>
      </c>
      <c r="I413" t="s">
        <v>17</v>
      </c>
      <c r="J413" t="s">
        <v>17</v>
      </c>
      <c r="K413" t="s">
        <v>17</v>
      </c>
      <c r="L413" s="4" t="s">
        <v>17</v>
      </c>
    </row>
    <row r="414" spans="1:12" x14ac:dyDescent="0.25">
      <c r="A414" t="s">
        <v>442</v>
      </c>
      <c r="B414" t="s">
        <v>32</v>
      </c>
      <c r="C414" t="s">
        <v>19</v>
      </c>
      <c r="D414">
        <v>6</v>
      </c>
      <c r="E414" t="s">
        <v>40</v>
      </c>
      <c r="F414" t="s">
        <v>16</v>
      </c>
      <c r="G414" t="s">
        <v>17</v>
      </c>
      <c r="H414" t="s">
        <v>17</v>
      </c>
      <c r="I414" t="s">
        <v>17</v>
      </c>
      <c r="J414" t="s">
        <v>17</v>
      </c>
      <c r="K414" t="s">
        <v>17</v>
      </c>
      <c r="L414" s="4" t="s">
        <v>17</v>
      </c>
    </row>
    <row r="415" spans="1:12" x14ac:dyDescent="0.25">
      <c r="A415" t="s">
        <v>443</v>
      </c>
      <c r="B415" t="s">
        <v>32</v>
      </c>
      <c r="C415" t="s">
        <v>14</v>
      </c>
      <c r="D415">
        <v>2</v>
      </c>
      <c r="E415" t="s">
        <v>23</v>
      </c>
      <c r="F415" t="s">
        <v>16</v>
      </c>
      <c r="G415" t="s">
        <v>17</v>
      </c>
      <c r="H415" t="s">
        <v>17</v>
      </c>
      <c r="I415" t="s">
        <v>17</v>
      </c>
      <c r="J415" t="s">
        <v>17</v>
      </c>
      <c r="K415" t="s">
        <v>17</v>
      </c>
      <c r="L415" s="4" t="s">
        <v>17</v>
      </c>
    </row>
    <row r="416" spans="1:12" x14ac:dyDescent="0.25">
      <c r="A416" t="s">
        <v>444</v>
      </c>
      <c r="B416" t="s">
        <v>22</v>
      </c>
      <c r="C416" t="s">
        <v>29</v>
      </c>
      <c r="D416">
        <v>6</v>
      </c>
      <c r="E416" t="s">
        <v>15</v>
      </c>
      <c r="F416" t="s">
        <v>17</v>
      </c>
      <c r="G416" t="s">
        <v>17</v>
      </c>
      <c r="H416" t="s">
        <v>17</v>
      </c>
      <c r="I416" t="s">
        <v>17</v>
      </c>
      <c r="J416" t="s">
        <v>17</v>
      </c>
      <c r="K416" t="s">
        <v>17</v>
      </c>
      <c r="L416" s="4" t="s">
        <v>17</v>
      </c>
    </row>
    <row r="417" spans="1:12" x14ac:dyDescent="0.25">
      <c r="A417" t="s">
        <v>445</v>
      </c>
      <c r="B417" t="s">
        <v>13</v>
      </c>
      <c r="C417" t="s">
        <v>33</v>
      </c>
      <c r="D417">
        <v>4</v>
      </c>
      <c r="E417" t="s">
        <v>23</v>
      </c>
      <c r="F417" t="s">
        <v>16</v>
      </c>
      <c r="G417" t="s">
        <v>16</v>
      </c>
      <c r="H417" t="s">
        <v>16</v>
      </c>
      <c r="I417" t="s">
        <v>17</v>
      </c>
      <c r="J417" t="s">
        <v>17</v>
      </c>
      <c r="K417" t="s">
        <v>17</v>
      </c>
      <c r="L417" s="4" t="s">
        <v>17</v>
      </c>
    </row>
    <row r="418" spans="1:12" x14ac:dyDescent="0.25">
      <c r="A418" t="s">
        <v>446</v>
      </c>
      <c r="B418" t="s">
        <v>25</v>
      </c>
      <c r="C418" t="s">
        <v>14</v>
      </c>
      <c r="D418">
        <v>4</v>
      </c>
      <c r="E418" t="s">
        <v>23</v>
      </c>
      <c r="F418" t="s">
        <v>16</v>
      </c>
      <c r="G418" t="s">
        <v>17</v>
      </c>
      <c r="H418" t="s">
        <v>17</v>
      </c>
      <c r="I418" t="s">
        <v>17</v>
      </c>
      <c r="J418" t="s">
        <v>17</v>
      </c>
      <c r="K418" t="s">
        <v>17</v>
      </c>
      <c r="L418" s="4" t="s">
        <v>17</v>
      </c>
    </row>
    <row r="419" spans="1:12" x14ac:dyDescent="0.25">
      <c r="A419" t="s">
        <v>447</v>
      </c>
      <c r="B419" t="s">
        <v>32</v>
      </c>
      <c r="C419" t="s">
        <v>19</v>
      </c>
      <c r="D419">
        <v>2</v>
      </c>
      <c r="E419" t="s">
        <v>20</v>
      </c>
      <c r="F419" t="s">
        <v>16</v>
      </c>
      <c r="G419" t="s">
        <v>17</v>
      </c>
      <c r="H419" t="s">
        <v>17</v>
      </c>
      <c r="I419" t="s">
        <v>17</v>
      </c>
      <c r="J419" t="s">
        <v>17</v>
      </c>
      <c r="K419" t="s">
        <v>17</v>
      </c>
      <c r="L419" s="4" t="s">
        <v>17</v>
      </c>
    </row>
    <row r="420" spans="1:12" x14ac:dyDescent="0.25">
      <c r="A420" t="s">
        <v>448</v>
      </c>
      <c r="B420" t="s">
        <v>13</v>
      </c>
      <c r="C420" t="s">
        <v>29</v>
      </c>
      <c r="D420">
        <v>3</v>
      </c>
      <c r="E420" t="s">
        <v>23</v>
      </c>
      <c r="F420" t="s">
        <v>16</v>
      </c>
      <c r="G420" t="s">
        <v>16</v>
      </c>
      <c r="H420" t="s">
        <v>16</v>
      </c>
      <c r="I420" t="s">
        <v>17</v>
      </c>
      <c r="J420" t="s">
        <v>17</v>
      </c>
      <c r="K420" t="s">
        <v>17</v>
      </c>
      <c r="L420" s="4" t="s">
        <v>17</v>
      </c>
    </row>
    <row r="421" spans="1:12" x14ac:dyDescent="0.25">
      <c r="A421" t="s">
        <v>449</v>
      </c>
      <c r="B421" t="s">
        <v>22</v>
      </c>
      <c r="C421" t="s">
        <v>36</v>
      </c>
      <c r="D421">
        <v>1</v>
      </c>
      <c r="E421" t="s">
        <v>30</v>
      </c>
      <c r="F421" t="s">
        <v>16</v>
      </c>
      <c r="G421" t="s">
        <v>17</v>
      </c>
      <c r="H421" t="s">
        <v>17</v>
      </c>
      <c r="I421" t="s">
        <v>17</v>
      </c>
      <c r="J421" t="s">
        <v>17</v>
      </c>
      <c r="K421" t="s">
        <v>17</v>
      </c>
      <c r="L421" s="4" t="s">
        <v>17</v>
      </c>
    </row>
    <row r="422" spans="1:12" x14ac:dyDescent="0.25">
      <c r="A422" t="s">
        <v>450</v>
      </c>
      <c r="B422" t="s">
        <v>22</v>
      </c>
      <c r="C422" t="s">
        <v>33</v>
      </c>
      <c r="D422">
        <v>4</v>
      </c>
      <c r="E422" t="s">
        <v>30</v>
      </c>
      <c r="F422" t="s">
        <v>17</v>
      </c>
      <c r="G422" t="s">
        <v>17</v>
      </c>
      <c r="H422" t="s">
        <v>17</v>
      </c>
      <c r="I422" t="s">
        <v>17</v>
      </c>
      <c r="J422" t="s">
        <v>17</v>
      </c>
      <c r="K422" t="s">
        <v>17</v>
      </c>
      <c r="L422" s="4" t="s">
        <v>17</v>
      </c>
    </row>
    <row r="423" spans="1:12" x14ac:dyDescent="0.25">
      <c r="A423" t="s">
        <v>451</v>
      </c>
      <c r="B423" t="s">
        <v>25</v>
      </c>
      <c r="C423" t="s">
        <v>29</v>
      </c>
      <c r="D423">
        <v>0</v>
      </c>
      <c r="E423" t="s">
        <v>40</v>
      </c>
      <c r="F423" t="s">
        <v>16</v>
      </c>
      <c r="G423" t="s">
        <v>17</v>
      </c>
      <c r="H423" t="s">
        <v>17</v>
      </c>
      <c r="I423" t="s">
        <v>17</v>
      </c>
      <c r="J423" t="s">
        <v>17</v>
      </c>
      <c r="K423" t="s">
        <v>17</v>
      </c>
      <c r="L423" s="4" t="s">
        <v>17</v>
      </c>
    </row>
    <row r="424" spans="1:12" x14ac:dyDescent="0.25">
      <c r="A424" t="s">
        <v>452</v>
      </c>
      <c r="B424" t="s">
        <v>22</v>
      </c>
      <c r="C424" t="s">
        <v>19</v>
      </c>
      <c r="D424">
        <v>1</v>
      </c>
      <c r="E424" t="s">
        <v>30</v>
      </c>
      <c r="F424" t="s">
        <v>16</v>
      </c>
      <c r="G424" t="s">
        <v>17</v>
      </c>
      <c r="H424" t="s">
        <v>17</v>
      </c>
      <c r="I424" t="s">
        <v>17</v>
      </c>
      <c r="J424" t="s">
        <v>17</v>
      </c>
      <c r="K424" t="s">
        <v>17</v>
      </c>
      <c r="L424" s="4" t="s">
        <v>17</v>
      </c>
    </row>
    <row r="425" spans="1:12" x14ac:dyDescent="0.25">
      <c r="A425" t="s">
        <v>453</v>
      </c>
      <c r="B425" t="s">
        <v>32</v>
      </c>
      <c r="C425" t="s">
        <v>19</v>
      </c>
      <c r="D425">
        <v>1</v>
      </c>
      <c r="E425" t="s">
        <v>23</v>
      </c>
      <c r="F425" t="s">
        <v>16</v>
      </c>
      <c r="G425" t="s">
        <v>17</v>
      </c>
      <c r="H425" t="s">
        <v>17</v>
      </c>
      <c r="I425" t="s">
        <v>17</v>
      </c>
      <c r="J425" t="s">
        <v>17</v>
      </c>
      <c r="K425" t="s">
        <v>17</v>
      </c>
      <c r="L425" s="4" t="s">
        <v>17</v>
      </c>
    </row>
    <row r="426" spans="1:12" x14ac:dyDescent="0.25">
      <c r="A426" t="s">
        <v>454</v>
      </c>
      <c r="B426" t="s">
        <v>25</v>
      </c>
      <c r="C426" t="s">
        <v>14</v>
      </c>
      <c r="D426">
        <v>2</v>
      </c>
      <c r="E426" t="s">
        <v>27</v>
      </c>
      <c r="F426" t="s">
        <v>16</v>
      </c>
      <c r="G426" t="s">
        <v>17</v>
      </c>
      <c r="H426" t="s">
        <v>17</v>
      </c>
      <c r="I426" t="s">
        <v>17</v>
      </c>
      <c r="J426" t="s">
        <v>17</v>
      </c>
      <c r="K426" t="s">
        <v>17</v>
      </c>
      <c r="L426" s="4" t="s">
        <v>17</v>
      </c>
    </row>
    <row r="427" spans="1:12" x14ac:dyDescent="0.25">
      <c r="A427" t="s">
        <v>455</v>
      </c>
      <c r="B427" t="s">
        <v>13</v>
      </c>
      <c r="C427" t="s">
        <v>14</v>
      </c>
      <c r="D427">
        <v>5</v>
      </c>
      <c r="E427" t="s">
        <v>27</v>
      </c>
      <c r="F427" t="s">
        <v>17</v>
      </c>
      <c r="G427" t="s">
        <v>17</v>
      </c>
      <c r="H427" t="s">
        <v>17</v>
      </c>
      <c r="I427" t="s">
        <v>17</v>
      </c>
      <c r="J427" t="s">
        <v>17</v>
      </c>
      <c r="K427" t="s">
        <v>17</v>
      </c>
      <c r="L427" s="4" t="s">
        <v>17</v>
      </c>
    </row>
    <row r="428" spans="1:12" x14ac:dyDescent="0.25">
      <c r="A428" t="s">
        <v>456</v>
      </c>
      <c r="B428" t="s">
        <v>25</v>
      </c>
      <c r="C428" t="s">
        <v>36</v>
      </c>
      <c r="D428">
        <v>0</v>
      </c>
      <c r="E428" t="s">
        <v>23</v>
      </c>
      <c r="F428" t="s">
        <v>16</v>
      </c>
      <c r="G428" t="s">
        <v>16</v>
      </c>
      <c r="H428" t="s">
        <v>16</v>
      </c>
      <c r="I428" t="s">
        <v>17</v>
      </c>
      <c r="J428" t="s">
        <v>17</v>
      </c>
      <c r="K428" t="s">
        <v>17</v>
      </c>
      <c r="L428" s="4" t="s">
        <v>17</v>
      </c>
    </row>
    <row r="429" spans="1:12" x14ac:dyDescent="0.25">
      <c r="A429" t="s">
        <v>457</v>
      </c>
      <c r="B429" t="s">
        <v>32</v>
      </c>
      <c r="C429" t="s">
        <v>36</v>
      </c>
      <c r="D429">
        <v>0</v>
      </c>
      <c r="E429" t="s">
        <v>23</v>
      </c>
      <c r="F429" t="s">
        <v>16</v>
      </c>
      <c r="G429" t="s">
        <v>16</v>
      </c>
      <c r="H429" t="s">
        <v>17</v>
      </c>
      <c r="I429" t="s">
        <v>17</v>
      </c>
      <c r="J429" t="s">
        <v>17</v>
      </c>
      <c r="K429" t="s">
        <v>17</v>
      </c>
      <c r="L429" s="4" t="s">
        <v>17</v>
      </c>
    </row>
    <row r="430" spans="1:12" x14ac:dyDescent="0.25">
      <c r="A430" t="s">
        <v>458</v>
      </c>
      <c r="B430" t="s">
        <v>13</v>
      </c>
      <c r="C430" t="s">
        <v>33</v>
      </c>
      <c r="D430">
        <v>1</v>
      </c>
      <c r="E430" t="s">
        <v>30</v>
      </c>
      <c r="F430" t="s">
        <v>16</v>
      </c>
      <c r="G430" t="s">
        <v>17</v>
      </c>
      <c r="H430" t="s">
        <v>17</v>
      </c>
      <c r="I430" t="s">
        <v>17</v>
      </c>
      <c r="J430" t="s">
        <v>17</v>
      </c>
      <c r="K430" t="s">
        <v>17</v>
      </c>
      <c r="L430" s="4" t="s">
        <v>17</v>
      </c>
    </row>
    <row r="431" spans="1:12" x14ac:dyDescent="0.25">
      <c r="A431" t="s">
        <v>459</v>
      </c>
      <c r="B431" t="s">
        <v>22</v>
      </c>
      <c r="C431" t="s">
        <v>36</v>
      </c>
      <c r="D431">
        <v>2</v>
      </c>
      <c r="E431" t="s">
        <v>15</v>
      </c>
      <c r="F431" t="s">
        <v>16</v>
      </c>
      <c r="G431" t="s">
        <v>17</v>
      </c>
      <c r="H431" t="s">
        <v>17</v>
      </c>
      <c r="I431" t="s">
        <v>17</v>
      </c>
      <c r="J431" t="s">
        <v>17</v>
      </c>
      <c r="K431" t="s">
        <v>17</v>
      </c>
      <c r="L431" s="4" t="s">
        <v>17</v>
      </c>
    </row>
    <row r="432" spans="1:12" x14ac:dyDescent="0.25">
      <c r="A432" t="s">
        <v>460</v>
      </c>
      <c r="B432" t="s">
        <v>25</v>
      </c>
      <c r="C432" t="s">
        <v>33</v>
      </c>
      <c r="D432">
        <v>5</v>
      </c>
      <c r="E432" t="s">
        <v>15</v>
      </c>
      <c r="F432" t="s">
        <v>16</v>
      </c>
      <c r="G432" t="s">
        <v>17</v>
      </c>
      <c r="H432" t="s">
        <v>17</v>
      </c>
      <c r="I432" t="s">
        <v>17</v>
      </c>
      <c r="J432" t="s">
        <v>17</v>
      </c>
      <c r="K432" t="s">
        <v>17</v>
      </c>
      <c r="L432" s="4" t="s">
        <v>17</v>
      </c>
    </row>
    <row r="433" spans="1:12" x14ac:dyDescent="0.25">
      <c r="A433" t="s">
        <v>461</v>
      </c>
      <c r="B433" t="s">
        <v>13</v>
      </c>
      <c r="C433" t="s">
        <v>14</v>
      </c>
      <c r="D433">
        <v>2</v>
      </c>
      <c r="E433" t="s">
        <v>23</v>
      </c>
      <c r="F433" t="s">
        <v>16</v>
      </c>
      <c r="G433" t="s">
        <v>17</v>
      </c>
      <c r="H433" t="s">
        <v>17</v>
      </c>
      <c r="I433" t="s">
        <v>17</v>
      </c>
      <c r="J433" t="s">
        <v>17</v>
      </c>
      <c r="K433" t="s">
        <v>17</v>
      </c>
      <c r="L433" s="4" t="s">
        <v>17</v>
      </c>
    </row>
    <row r="434" spans="1:12" x14ac:dyDescent="0.25">
      <c r="A434" t="s">
        <v>462</v>
      </c>
      <c r="B434" t="s">
        <v>50</v>
      </c>
      <c r="C434" t="s">
        <v>33</v>
      </c>
      <c r="D434">
        <v>3</v>
      </c>
      <c r="E434" t="s">
        <v>15</v>
      </c>
      <c r="F434" t="s">
        <v>16</v>
      </c>
      <c r="G434" t="s">
        <v>16</v>
      </c>
      <c r="H434" t="s">
        <v>17</v>
      </c>
      <c r="I434" t="s">
        <v>17</v>
      </c>
      <c r="J434" t="s">
        <v>17</v>
      </c>
      <c r="K434" t="s">
        <v>17</v>
      </c>
      <c r="L434" s="4" t="s">
        <v>17</v>
      </c>
    </row>
    <row r="435" spans="1:12" x14ac:dyDescent="0.25">
      <c r="A435" t="s">
        <v>463</v>
      </c>
      <c r="B435" t="s">
        <v>32</v>
      </c>
      <c r="C435" t="s">
        <v>36</v>
      </c>
      <c r="D435">
        <v>3</v>
      </c>
      <c r="E435" t="s">
        <v>27</v>
      </c>
      <c r="F435" t="s">
        <v>17</v>
      </c>
      <c r="G435" t="s">
        <v>17</v>
      </c>
      <c r="H435" t="s">
        <v>17</v>
      </c>
      <c r="I435" t="s">
        <v>17</v>
      </c>
      <c r="J435" t="s">
        <v>17</v>
      </c>
      <c r="K435" t="s">
        <v>17</v>
      </c>
      <c r="L435" s="4" t="s">
        <v>17</v>
      </c>
    </row>
    <row r="436" spans="1:12" x14ac:dyDescent="0.25">
      <c r="A436" t="s">
        <v>464</v>
      </c>
      <c r="B436" t="s">
        <v>22</v>
      </c>
      <c r="C436" t="s">
        <v>33</v>
      </c>
      <c r="D436">
        <v>1</v>
      </c>
      <c r="E436" t="s">
        <v>20</v>
      </c>
      <c r="F436" t="s">
        <v>16</v>
      </c>
      <c r="G436" t="s">
        <v>17</v>
      </c>
      <c r="H436" t="s">
        <v>17</v>
      </c>
      <c r="I436" t="s">
        <v>17</v>
      </c>
      <c r="J436" t="s">
        <v>17</v>
      </c>
      <c r="K436" t="s">
        <v>17</v>
      </c>
      <c r="L436" s="4" t="s">
        <v>17</v>
      </c>
    </row>
    <row r="437" spans="1:12" x14ac:dyDescent="0.25">
      <c r="A437" t="s">
        <v>465</v>
      </c>
      <c r="B437" t="s">
        <v>22</v>
      </c>
      <c r="C437" t="s">
        <v>19</v>
      </c>
      <c r="D437">
        <v>0</v>
      </c>
      <c r="E437" t="s">
        <v>23</v>
      </c>
      <c r="F437" t="s">
        <v>17</v>
      </c>
      <c r="G437" t="s">
        <v>17</v>
      </c>
      <c r="H437" t="s">
        <v>17</v>
      </c>
      <c r="I437" t="s">
        <v>17</v>
      </c>
      <c r="J437" t="s">
        <v>17</v>
      </c>
      <c r="K437" t="s">
        <v>17</v>
      </c>
      <c r="L437" s="4" t="s">
        <v>17</v>
      </c>
    </row>
    <row r="438" spans="1:12" x14ac:dyDescent="0.25">
      <c r="A438" t="s">
        <v>466</v>
      </c>
      <c r="B438" t="s">
        <v>22</v>
      </c>
      <c r="C438" t="s">
        <v>33</v>
      </c>
      <c r="D438">
        <v>1</v>
      </c>
      <c r="E438" t="s">
        <v>23</v>
      </c>
      <c r="F438" t="s">
        <v>16</v>
      </c>
      <c r="G438" t="s">
        <v>17</v>
      </c>
      <c r="H438" t="s">
        <v>17</v>
      </c>
      <c r="I438" t="s">
        <v>17</v>
      </c>
      <c r="J438" t="s">
        <v>17</v>
      </c>
      <c r="K438" t="s">
        <v>17</v>
      </c>
      <c r="L438" s="4" t="s">
        <v>17</v>
      </c>
    </row>
    <row r="439" spans="1:12" x14ac:dyDescent="0.25">
      <c r="A439" t="s">
        <v>467</v>
      </c>
      <c r="B439" t="s">
        <v>25</v>
      </c>
      <c r="C439" t="s">
        <v>29</v>
      </c>
      <c r="D439">
        <v>1</v>
      </c>
      <c r="E439" t="s">
        <v>30</v>
      </c>
      <c r="F439" t="s">
        <v>16</v>
      </c>
      <c r="G439" t="s">
        <v>16</v>
      </c>
      <c r="H439" t="s">
        <v>17</v>
      </c>
      <c r="I439" t="s">
        <v>17</v>
      </c>
      <c r="J439" t="s">
        <v>17</v>
      </c>
      <c r="K439" t="s">
        <v>17</v>
      </c>
      <c r="L439" s="4" t="s">
        <v>17</v>
      </c>
    </row>
    <row r="440" spans="1:12" x14ac:dyDescent="0.25">
      <c r="A440" t="s">
        <v>468</v>
      </c>
      <c r="B440" t="s">
        <v>22</v>
      </c>
      <c r="C440" t="s">
        <v>19</v>
      </c>
      <c r="D440">
        <v>0</v>
      </c>
      <c r="E440" t="s">
        <v>27</v>
      </c>
      <c r="F440" t="s">
        <v>17</v>
      </c>
      <c r="G440" t="s">
        <v>17</v>
      </c>
      <c r="H440" t="s">
        <v>17</v>
      </c>
      <c r="I440" t="s">
        <v>17</v>
      </c>
      <c r="J440" t="s">
        <v>17</v>
      </c>
      <c r="K440" t="s">
        <v>17</v>
      </c>
      <c r="L440" s="4" t="s">
        <v>17</v>
      </c>
    </row>
    <row r="441" spans="1:12" x14ac:dyDescent="0.25">
      <c r="A441" t="s">
        <v>469</v>
      </c>
      <c r="B441" t="s">
        <v>22</v>
      </c>
      <c r="C441" t="s">
        <v>19</v>
      </c>
      <c r="D441">
        <v>4</v>
      </c>
      <c r="E441" t="s">
        <v>30</v>
      </c>
      <c r="F441" t="s">
        <v>16</v>
      </c>
      <c r="G441" t="s">
        <v>17</v>
      </c>
      <c r="H441" t="s">
        <v>17</v>
      </c>
      <c r="I441" t="s">
        <v>17</v>
      </c>
      <c r="J441" t="s">
        <v>17</v>
      </c>
      <c r="K441" t="s">
        <v>17</v>
      </c>
      <c r="L441" s="4" t="s">
        <v>17</v>
      </c>
    </row>
    <row r="442" spans="1:12" x14ac:dyDescent="0.25">
      <c r="A442" t="s">
        <v>470</v>
      </c>
      <c r="B442" t="s">
        <v>25</v>
      </c>
      <c r="C442" t="s">
        <v>19</v>
      </c>
      <c r="D442">
        <v>6</v>
      </c>
      <c r="E442" t="s">
        <v>40</v>
      </c>
      <c r="F442" t="s">
        <v>16</v>
      </c>
      <c r="G442" t="s">
        <v>16</v>
      </c>
      <c r="H442" t="s">
        <v>16</v>
      </c>
      <c r="I442" t="s">
        <v>16</v>
      </c>
      <c r="J442" t="s">
        <v>16</v>
      </c>
      <c r="K442" t="s">
        <v>16</v>
      </c>
      <c r="L442" s="4" t="s">
        <v>16</v>
      </c>
    </row>
    <row r="443" spans="1:12" x14ac:dyDescent="0.25">
      <c r="A443" t="s">
        <v>471</v>
      </c>
      <c r="B443" t="s">
        <v>13</v>
      </c>
      <c r="C443" t="s">
        <v>33</v>
      </c>
      <c r="D443">
        <v>3</v>
      </c>
      <c r="E443" t="s">
        <v>30</v>
      </c>
      <c r="F443" t="s">
        <v>16</v>
      </c>
      <c r="G443" t="s">
        <v>16</v>
      </c>
      <c r="H443" t="s">
        <v>16</v>
      </c>
      <c r="I443" t="s">
        <v>17</v>
      </c>
      <c r="J443" t="s">
        <v>17</v>
      </c>
      <c r="K443" t="s">
        <v>17</v>
      </c>
      <c r="L443" s="4" t="s">
        <v>17</v>
      </c>
    </row>
    <row r="444" spans="1:12" x14ac:dyDescent="0.25">
      <c r="A444" t="s">
        <v>472</v>
      </c>
      <c r="B444" t="s">
        <v>22</v>
      </c>
      <c r="C444" t="s">
        <v>36</v>
      </c>
      <c r="D444">
        <v>4</v>
      </c>
      <c r="E444" t="s">
        <v>15</v>
      </c>
      <c r="F444" t="s">
        <v>17</v>
      </c>
      <c r="G444" t="s">
        <v>17</v>
      </c>
      <c r="H444" t="s">
        <v>17</v>
      </c>
      <c r="I444" t="s">
        <v>17</v>
      </c>
      <c r="J444" t="s">
        <v>17</v>
      </c>
      <c r="K444" t="s">
        <v>17</v>
      </c>
      <c r="L444" s="4" t="s">
        <v>17</v>
      </c>
    </row>
    <row r="445" spans="1:12" x14ac:dyDescent="0.25">
      <c r="A445" t="s">
        <v>473</v>
      </c>
      <c r="B445" t="s">
        <v>22</v>
      </c>
      <c r="C445" t="s">
        <v>36</v>
      </c>
      <c r="D445">
        <v>4</v>
      </c>
      <c r="E445" t="s">
        <v>23</v>
      </c>
      <c r="F445" t="s">
        <v>17</v>
      </c>
      <c r="G445" t="s">
        <v>17</v>
      </c>
      <c r="H445" t="s">
        <v>17</v>
      </c>
      <c r="I445" t="s">
        <v>17</v>
      </c>
      <c r="J445" t="s">
        <v>17</v>
      </c>
      <c r="K445" t="s">
        <v>17</v>
      </c>
      <c r="L445" s="4" t="s">
        <v>17</v>
      </c>
    </row>
    <row r="446" spans="1:12" x14ac:dyDescent="0.25">
      <c r="A446" t="s">
        <v>474</v>
      </c>
      <c r="B446" t="s">
        <v>13</v>
      </c>
      <c r="C446" t="s">
        <v>33</v>
      </c>
      <c r="D446">
        <v>2</v>
      </c>
      <c r="E446" t="s">
        <v>23</v>
      </c>
      <c r="F446" t="s">
        <v>16</v>
      </c>
      <c r="G446" t="s">
        <v>17</v>
      </c>
      <c r="H446" t="s">
        <v>17</v>
      </c>
      <c r="I446" t="s">
        <v>17</v>
      </c>
      <c r="J446" t="s">
        <v>17</v>
      </c>
      <c r="K446" t="s">
        <v>17</v>
      </c>
      <c r="L446" s="4" t="s">
        <v>17</v>
      </c>
    </row>
    <row r="447" spans="1:12" x14ac:dyDescent="0.25">
      <c r="A447" t="s">
        <v>475</v>
      </c>
      <c r="B447" t="s">
        <v>22</v>
      </c>
      <c r="C447" t="s">
        <v>14</v>
      </c>
      <c r="D447">
        <v>3</v>
      </c>
      <c r="E447" t="s">
        <v>40</v>
      </c>
      <c r="F447" t="s">
        <v>16</v>
      </c>
      <c r="G447" t="s">
        <v>17</v>
      </c>
      <c r="H447" t="s">
        <v>17</v>
      </c>
      <c r="I447" t="s">
        <v>17</v>
      </c>
      <c r="J447" t="s">
        <v>17</v>
      </c>
      <c r="K447" t="s">
        <v>17</v>
      </c>
      <c r="L447" s="4" t="s">
        <v>17</v>
      </c>
    </row>
    <row r="448" spans="1:12" x14ac:dyDescent="0.25">
      <c r="A448" t="s">
        <v>476</v>
      </c>
      <c r="B448" t="s">
        <v>22</v>
      </c>
      <c r="C448" t="s">
        <v>29</v>
      </c>
      <c r="D448">
        <v>5</v>
      </c>
      <c r="E448" t="s">
        <v>15</v>
      </c>
      <c r="F448" t="s">
        <v>16</v>
      </c>
      <c r="G448" t="s">
        <v>17</v>
      </c>
      <c r="H448" t="s">
        <v>17</v>
      </c>
      <c r="I448" t="s">
        <v>17</v>
      </c>
      <c r="J448" t="s">
        <v>17</v>
      </c>
      <c r="K448" t="s">
        <v>17</v>
      </c>
      <c r="L448" s="4" t="s">
        <v>17</v>
      </c>
    </row>
    <row r="449" spans="1:12" x14ac:dyDescent="0.25">
      <c r="A449" t="s">
        <v>477</v>
      </c>
      <c r="B449" t="s">
        <v>13</v>
      </c>
      <c r="C449" t="s">
        <v>14</v>
      </c>
      <c r="D449">
        <v>2</v>
      </c>
      <c r="E449" t="s">
        <v>20</v>
      </c>
      <c r="F449" t="s">
        <v>16</v>
      </c>
      <c r="G449" t="s">
        <v>17</v>
      </c>
      <c r="H449" t="s">
        <v>17</v>
      </c>
      <c r="I449" t="s">
        <v>17</v>
      </c>
      <c r="J449" t="s">
        <v>17</v>
      </c>
      <c r="K449" t="s">
        <v>17</v>
      </c>
      <c r="L449" s="4" t="s">
        <v>17</v>
      </c>
    </row>
    <row r="450" spans="1:12" x14ac:dyDescent="0.25">
      <c r="A450" t="s">
        <v>478</v>
      </c>
      <c r="B450" t="s">
        <v>22</v>
      </c>
      <c r="C450" t="s">
        <v>36</v>
      </c>
      <c r="D450">
        <v>5</v>
      </c>
      <c r="E450" t="s">
        <v>27</v>
      </c>
      <c r="F450" t="s">
        <v>17</v>
      </c>
      <c r="G450" t="s">
        <v>17</v>
      </c>
      <c r="H450" t="s">
        <v>17</v>
      </c>
      <c r="I450" t="s">
        <v>17</v>
      </c>
      <c r="J450" t="s">
        <v>17</v>
      </c>
      <c r="K450" t="s">
        <v>17</v>
      </c>
      <c r="L450" s="4" t="s">
        <v>17</v>
      </c>
    </row>
    <row r="451" spans="1:12" x14ac:dyDescent="0.25">
      <c r="A451" t="s">
        <v>479</v>
      </c>
      <c r="B451" t="s">
        <v>22</v>
      </c>
      <c r="C451" t="s">
        <v>19</v>
      </c>
      <c r="D451">
        <v>2</v>
      </c>
      <c r="E451" t="s">
        <v>30</v>
      </c>
      <c r="F451" t="s">
        <v>16</v>
      </c>
      <c r="G451" t="s">
        <v>16</v>
      </c>
      <c r="H451" t="s">
        <v>17</v>
      </c>
      <c r="I451" t="s">
        <v>17</v>
      </c>
      <c r="J451" t="s">
        <v>17</v>
      </c>
      <c r="K451" t="s">
        <v>17</v>
      </c>
      <c r="L451" s="4" t="s">
        <v>17</v>
      </c>
    </row>
    <row r="452" spans="1:12" x14ac:dyDescent="0.25">
      <c r="A452" t="s">
        <v>480</v>
      </c>
      <c r="B452" t="s">
        <v>32</v>
      </c>
      <c r="C452" t="s">
        <v>14</v>
      </c>
      <c r="D452">
        <v>3</v>
      </c>
      <c r="E452" t="s">
        <v>20</v>
      </c>
      <c r="F452" t="s">
        <v>16</v>
      </c>
      <c r="G452" t="s">
        <v>16</v>
      </c>
      <c r="H452" t="s">
        <v>16</v>
      </c>
      <c r="I452" t="s">
        <v>16</v>
      </c>
      <c r="J452" t="s">
        <v>16</v>
      </c>
      <c r="K452" t="s">
        <v>16</v>
      </c>
      <c r="L452" s="4" t="s">
        <v>16</v>
      </c>
    </row>
    <row r="453" spans="1:12" x14ac:dyDescent="0.25">
      <c r="A453" t="s">
        <v>481</v>
      </c>
      <c r="B453" t="s">
        <v>13</v>
      </c>
      <c r="C453" t="s">
        <v>14</v>
      </c>
      <c r="D453">
        <v>4</v>
      </c>
      <c r="E453" t="s">
        <v>40</v>
      </c>
      <c r="F453" t="s">
        <v>16</v>
      </c>
      <c r="G453" t="s">
        <v>17</v>
      </c>
      <c r="H453" t="s">
        <v>17</v>
      </c>
      <c r="I453" t="s">
        <v>17</v>
      </c>
      <c r="J453" t="s">
        <v>17</v>
      </c>
      <c r="K453" t="s">
        <v>17</v>
      </c>
      <c r="L453" s="4" t="s">
        <v>17</v>
      </c>
    </row>
    <row r="454" spans="1:12" x14ac:dyDescent="0.25">
      <c r="A454" t="s">
        <v>482</v>
      </c>
      <c r="B454" t="s">
        <v>22</v>
      </c>
      <c r="C454" t="s">
        <v>33</v>
      </c>
      <c r="D454">
        <v>3</v>
      </c>
      <c r="E454" t="s">
        <v>15</v>
      </c>
      <c r="F454" t="s">
        <v>16</v>
      </c>
      <c r="G454" t="s">
        <v>17</v>
      </c>
      <c r="H454" t="s">
        <v>17</v>
      </c>
      <c r="I454" t="s">
        <v>17</v>
      </c>
      <c r="J454" t="s">
        <v>17</v>
      </c>
      <c r="K454" t="s">
        <v>17</v>
      </c>
      <c r="L454" s="4" t="s">
        <v>17</v>
      </c>
    </row>
    <row r="455" spans="1:12" x14ac:dyDescent="0.25">
      <c r="A455" t="s">
        <v>483</v>
      </c>
      <c r="B455" t="s">
        <v>22</v>
      </c>
      <c r="C455" t="s">
        <v>29</v>
      </c>
      <c r="D455">
        <v>5</v>
      </c>
      <c r="E455" t="s">
        <v>23</v>
      </c>
      <c r="F455" t="s">
        <v>16</v>
      </c>
      <c r="G455" t="s">
        <v>16</v>
      </c>
      <c r="H455" t="s">
        <v>16</v>
      </c>
      <c r="I455" t="s">
        <v>17</v>
      </c>
      <c r="J455" t="s">
        <v>17</v>
      </c>
      <c r="K455" t="s">
        <v>17</v>
      </c>
      <c r="L455" s="4" t="s">
        <v>17</v>
      </c>
    </row>
    <row r="456" spans="1:12" x14ac:dyDescent="0.25">
      <c r="A456" t="s">
        <v>484</v>
      </c>
      <c r="B456" t="s">
        <v>22</v>
      </c>
      <c r="C456" t="s">
        <v>29</v>
      </c>
      <c r="D456">
        <v>4</v>
      </c>
      <c r="E456" t="s">
        <v>27</v>
      </c>
      <c r="F456" t="s">
        <v>16</v>
      </c>
      <c r="G456" t="s">
        <v>17</v>
      </c>
      <c r="H456" t="s">
        <v>17</v>
      </c>
      <c r="I456" t="s">
        <v>17</v>
      </c>
      <c r="J456" t="s">
        <v>17</v>
      </c>
      <c r="K456" t="s">
        <v>17</v>
      </c>
      <c r="L456" s="4" t="s">
        <v>17</v>
      </c>
    </row>
    <row r="457" spans="1:12" x14ac:dyDescent="0.25">
      <c r="A457" t="s">
        <v>485</v>
      </c>
      <c r="B457" t="s">
        <v>22</v>
      </c>
      <c r="C457" t="s">
        <v>14</v>
      </c>
      <c r="D457">
        <v>4</v>
      </c>
      <c r="E457" t="s">
        <v>40</v>
      </c>
      <c r="F457" t="s">
        <v>17</v>
      </c>
      <c r="G457" t="s">
        <v>17</v>
      </c>
      <c r="H457" t="s">
        <v>17</v>
      </c>
      <c r="I457" t="s">
        <v>17</v>
      </c>
      <c r="J457" t="s">
        <v>17</v>
      </c>
      <c r="K457" t="s">
        <v>17</v>
      </c>
      <c r="L457" s="4" t="s">
        <v>17</v>
      </c>
    </row>
    <row r="458" spans="1:12" x14ac:dyDescent="0.25">
      <c r="A458" t="s">
        <v>486</v>
      </c>
      <c r="B458" t="s">
        <v>22</v>
      </c>
      <c r="C458" t="s">
        <v>33</v>
      </c>
      <c r="D458">
        <v>2</v>
      </c>
      <c r="E458" t="s">
        <v>27</v>
      </c>
      <c r="F458" t="s">
        <v>16</v>
      </c>
      <c r="G458" t="s">
        <v>17</v>
      </c>
      <c r="H458" t="s">
        <v>17</v>
      </c>
      <c r="I458" t="s">
        <v>17</v>
      </c>
      <c r="J458" t="s">
        <v>17</v>
      </c>
      <c r="K458" t="s">
        <v>17</v>
      </c>
      <c r="L458" s="4" t="s">
        <v>17</v>
      </c>
    </row>
    <row r="459" spans="1:12" x14ac:dyDescent="0.25">
      <c r="A459" t="s">
        <v>487</v>
      </c>
      <c r="B459" t="s">
        <v>22</v>
      </c>
      <c r="C459" t="s">
        <v>14</v>
      </c>
      <c r="D459">
        <v>4</v>
      </c>
      <c r="E459" t="s">
        <v>27</v>
      </c>
      <c r="F459" t="s">
        <v>17</v>
      </c>
      <c r="G459" t="s">
        <v>17</v>
      </c>
      <c r="H459" t="s">
        <v>17</v>
      </c>
      <c r="I459" t="s">
        <v>17</v>
      </c>
      <c r="J459" t="s">
        <v>17</v>
      </c>
      <c r="K459" t="s">
        <v>17</v>
      </c>
      <c r="L459" s="4" t="s">
        <v>17</v>
      </c>
    </row>
    <row r="460" spans="1:12" x14ac:dyDescent="0.25">
      <c r="A460" t="s">
        <v>488</v>
      </c>
      <c r="B460" t="s">
        <v>22</v>
      </c>
      <c r="C460" t="s">
        <v>36</v>
      </c>
      <c r="D460">
        <v>3</v>
      </c>
      <c r="E460" t="s">
        <v>15</v>
      </c>
      <c r="F460" t="s">
        <v>17</v>
      </c>
      <c r="G460" t="s">
        <v>17</v>
      </c>
      <c r="H460" t="s">
        <v>17</v>
      </c>
      <c r="I460" t="s">
        <v>17</v>
      </c>
      <c r="J460" t="s">
        <v>17</v>
      </c>
      <c r="K460" t="s">
        <v>17</v>
      </c>
      <c r="L460" s="4" t="s">
        <v>17</v>
      </c>
    </row>
    <row r="461" spans="1:12" x14ac:dyDescent="0.25">
      <c r="A461" t="s">
        <v>489</v>
      </c>
      <c r="B461" t="s">
        <v>32</v>
      </c>
      <c r="C461" t="s">
        <v>29</v>
      </c>
      <c r="D461">
        <v>1</v>
      </c>
      <c r="E461" t="s">
        <v>40</v>
      </c>
      <c r="F461" t="s">
        <v>17</v>
      </c>
      <c r="G461" t="s">
        <v>17</v>
      </c>
      <c r="H461" t="s">
        <v>17</v>
      </c>
      <c r="I461" t="s">
        <v>17</v>
      </c>
      <c r="J461" t="s">
        <v>17</v>
      </c>
      <c r="K461" t="s">
        <v>17</v>
      </c>
      <c r="L461" s="4" t="s">
        <v>17</v>
      </c>
    </row>
    <row r="462" spans="1:12" x14ac:dyDescent="0.25">
      <c r="A462" t="s">
        <v>490</v>
      </c>
      <c r="B462" t="s">
        <v>22</v>
      </c>
      <c r="C462" t="s">
        <v>33</v>
      </c>
      <c r="D462">
        <v>5</v>
      </c>
      <c r="E462" t="s">
        <v>23</v>
      </c>
      <c r="F462" t="s">
        <v>17</v>
      </c>
      <c r="G462" t="s">
        <v>17</v>
      </c>
      <c r="H462" t="s">
        <v>17</v>
      </c>
      <c r="I462" t="s">
        <v>17</v>
      </c>
      <c r="J462" t="s">
        <v>17</v>
      </c>
      <c r="K462" t="s">
        <v>17</v>
      </c>
      <c r="L462" s="4" t="s">
        <v>17</v>
      </c>
    </row>
    <row r="463" spans="1:12" x14ac:dyDescent="0.25">
      <c r="A463" t="s">
        <v>491</v>
      </c>
      <c r="B463" t="s">
        <v>50</v>
      </c>
      <c r="C463" t="s">
        <v>14</v>
      </c>
      <c r="D463">
        <v>5</v>
      </c>
      <c r="E463" t="s">
        <v>30</v>
      </c>
      <c r="F463" t="s">
        <v>17</v>
      </c>
      <c r="G463" t="s">
        <v>17</v>
      </c>
      <c r="H463" t="s">
        <v>17</v>
      </c>
      <c r="I463" t="s">
        <v>17</v>
      </c>
      <c r="J463" t="s">
        <v>17</v>
      </c>
      <c r="K463" t="s">
        <v>17</v>
      </c>
      <c r="L463" s="4" t="s">
        <v>17</v>
      </c>
    </row>
    <row r="464" spans="1:12" x14ac:dyDescent="0.25">
      <c r="A464" t="s">
        <v>492</v>
      </c>
      <c r="B464" t="s">
        <v>13</v>
      </c>
      <c r="C464" t="s">
        <v>14</v>
      </c>
      <c r="D464">
        <v>4</v>
      </c>
      <c r="E464" t="s">
        <v>15</v>
      </c>
      <c r="F464" t="s">
        <v>16</v>
      </c>
      <c r="G464" t="s">
        <v>17</v>
      </c>
      <c r="H464" t="s">
        <v>17</v>
      </c>
      <c r="I464" t="s">
        <v>17</v>
      </c>
      <c r="J464" t="s">
        <v>17</v>
      </c>
      <c r="K464" t="s">
        <v>17</v>
      </c>
      <c r="L464" s="4" t="s">
        <v>17</v>
      </c>
    </row>
    <row r="465" spans="1:12" x14ac:dyDescent="0.25">
      <c r="A465" t="s">
        <v>493</v>
      </c>
      <c r="B465" t="s">
        <v>50</v>
      </c>
      <c r="C465" t="s">
        <v>14</v>
      </c>
      <c r="D465">
        <v>2</v>
      </c>
      <c r="E465" t="s">
        <v>40</v>
      </c>
      <c r="F465" t="s">
        <v>16</v>
      </c>
      <c r="G465" t="s">
        <v>16</v>
      </c>
      <c r="H465" t="s">
        <v>17</v>
      </c>
      <c r="I465" t="s">
        <v>17</v>
      </c>
      <c r="J465" t="s">
        <v>17</v>
      </c>
      <c r="K465" t="s">
        <v>17</v>
      </c>
      <c r="L465" s="4" t="s">
        <v>17</v>
      </c>
    </row>
    <row r="466" spans="1:12" x14ac:dyDescent="0.25">
      <c r="A466" t="s">
        <v>494</v>
      </c>
      <c r="B466" t="s">
        <v>32</v>
      </c>
      <c r="C466" t="s">
        <v>19</v>
      </c>
      <c r="D466">
        <v>3</v>
      </c>
      <c r="E466" t="s">
        <v>23</v>
      </c>
      <c r="F466" t="s">
        <v>16</v>
      </c>
      <c r="G466" t="s">
        <v>16</v>
      </c>
      <c r="H466" t="s">
        <v>16</v>
      </c>
      <c r="I466" t="s">
        <v>17</v>
      </c>
      <c r="J466" t="s">
        <v>17</v>
      </c>
      <c r="K466" t="s">
        <v>17</v>
      </c>
      <c r="L466" s="4" t="s">
        <v>17</v>
      </c>
    </row>
    <row r="467" spans="1:12" x14ac:dyDescent="0.25">
      <c r="A467" t="s">
        <v>495</v>
      </c>
      <c r="B467" t="s">
        <v>22</v>
      </c>
      <c r="C467" t="s">
        <v>33</v>
      </c>
      <c r="D467">
        <v>3</v>
      </c>
      <c r="E467" t="s">
        <v>23</v>
      </c>
      <c r="F467" t="s">
        <v>17</v>
      </c>
      <c r="G467" t="s">
        <v>17</v>
      </c>
      <c r="H467" t="s">
        <v>17</v>
      </c>
      <c r="I467" t="s">
        <v>17</v>
      </c>
      <c r="J467" t="s">
        <v>17</v>
      </c>
      <c r="K467" t="s">
        <v>17</v>
      </c>
      <c r="L467" s="4" t="s">
        <v>17</v>
      </c>
    </row>
    <row r="468" spans="1:12" x14ac:dyDescent="0.25">
      <c r="A468" t="s">
        <v>496</v>
      </c>
      <c r="B468" t="s">
        <v>22</v>
      </c>
      <c r="C468" t="s">
        <v>36</v>
      </c>
      <c r="D468">
        <v>2</v>
      </c>
      <c r="E468" t="s">
        <v>30</v>
      </c>
      <c r="F468" t="s">
        <v>16</v>
      </c>
      <c r="G468" t="s">
        <v>17</v>
      </c>
      <c r="H468" t="s">
        <v>17</v>
      </c>
      <c r="I468" t="s">
        <v>17</v>
      </c>
      <c r="J468" t="s">
        <v>17</v>
      </c>
      <c r="K468" t="s">
        <v>17</v>
      </c>
      <c r="L468" s="4" t="s">
        <v>17</v>
      </c>
    </row>
    <row r="469" spans="1:12" x14ac:dyDescent="0.25">
      <c r="A469" t="s">
        <v>497</v>
      </c>
      <c r="B469" t="s">
        <v>22</v>
      </c>
      <c r="C469" t="s">
        <v>36</v>
      </c>
      <c r="D469">
        <v>0</v>
      </c>
      <c r="E469" t="s">
        <v>15</v>
      </c>
      <c r="F469" t="s">
        <v>16</v>
      </c>
      <c r="G469" t="s">
        <v>17</v>
      </c>
      <c r="H469" t="s">
        <v>17</v>
      </c>
      <c r="I469" t="s">
        <v>17</v>
      </c>
      <c r="J469" t="s">
        <v>17</v>
      </c>
      <c r="K469" t="s">
        <v>17</v>
      </c>
      <c r="L469" s="4" t="s">
        <v>17</v>
      </c>
    </row>
    <row r="470" spans="1:12" x14ac:dyDescent="0.25">
      <c r="A470" t="s">
        <v>498</v>
      </c>
      <c r="B470" t="s">
        <v>22</v>
      </c>
      <c r="C470" t="s">
        <v>14</v>
      </c>
      <c r="D470">
        <v>3</v>
      </c>
      <c r="E470" t="s">
        <v>30</v>
      </c>
      <c r="F470" t="s">
        <v>16</v>
      </c>
      <c r="G470" t="s">
        <v>16</v>
      </c>
      <c r="H470" t="s">
        <v>16</v>
      </c>
      <c r="I470" t="s">
        <v>17</v>
      </c>
      <c r="J470" t="s">
        <v>17</v>
      </c>
      <c r="K470" t="s">
        <v>17</v>
      </c>
      <c r="L470" s="4" t="s">
        <v>17</v>
      </c>
    </row>
    <row r="471" spans="1:12" x14ac:dyDescent="0.25">
      <c r="A471" t="s">
        <v>499</v>
      </c>
      <c r="B471" t="s">
        <v>32</v>
      </c>
      <c r="C471" t="s">
        <v>33</v>
      </c>
      <c r="D471">
        <v>6</v>
      </c>
      <c r="E471" t="s">
        <v>40</v>
      </c>
      <c r="F471" t="s">
        <v>16</v>
      </c>
      <c r="G471" t="s">
        <v>17</v>
      </c>
      <c r="H471" t="s">
        <v>17</v>
      </c>
      <c r="I471" t="s">
        <v>17</v>
      </c>
      <c r="J471" t="s">
        <v>17</v>
      </c>
      <c r="K471" t="s">
        <v>17</v>
      </c>
      <c r="L471" s="4" t="s">
        <v>17</v>
      </c>
    </row>
    <row r="472" spans="1:12" x14ac:dyDescent="0.25">
      <c r="A472" t="s">
        <v>500</v>
      </c>
      <c r="B472" t="s">
        <v>22</v>
      </c>
      <c r="C472" t="s">
        <v>29</v>
      </c>
      <c r="D472">
        <v>4</v>
      </c>
      <c r="E472" t="s">
        <v>40</v>
      </c>
      <c r="F472" t="s">
        <v>16</v>
      </c>
      <c r="G472" t="s">
        <v>17</v>
      </c>
      <c r="H472" t="s">
        <v>17</v>
      </c>
      <c r="I472" t="s">
        <v>17</v>
      </c>
      <c r="J472" t="s">
        <v>17</v>
      </c>
      <c r="K472" t="s">
        <v>17</v>
      </c>
      <c r="L472" s="4" t="s">
        <v>17</v>
      </c>
    </row>
    <row r="473" spans="1:12" x14ac:dyDescent="0.25">
      <c r="A473" t="s">
        <v>501</v>
      </c>
      <c r="B473" t="s">
        <v>22</v>
      </c>
      <c r="C473" t="s">
        <v>29</v>
      </c>
      <c r="D473">
        <v>2</v>
      </c>
      <c r="E473" t="s">
        <v>30</v>
      </c>
      <c r="F473" t="s">
        <v>16</v>
      </c>
      <c r="G473" t="s">
        <v>17</v>
      </c>
      <c r="H473" t="s">
        <v>17</v>
      </c>
      <c r="I473" t="s">
        <v>17</v>
      </c>
      <c r="J473" t="s">
        <v>17</v>
      </c>
      <c r="K473" t="s">
        <v>17</v>
      </c>
      <c r="L473" s="4" t="s">
        <v>17</v>
      </c>
    </row>
    <row r="474" spans="1:12" x14ac:dyDescent="0.25">
      <c r="A474" t="s">
        <v>502</v>
      </c>
      <c r="B474" t="s">
        <v>22</v>
      </c>
      <c r="C474" t="s">
        <v>19</v>
      </c>
      <c r="D474">
        <v>0</v>
      </c>
      <c r="E474" t="s">
        <v>30</v>
      </c>
      <c r="F474" t="s">
        <v>17</v>
      </c>
      <c r="G474" t="s">
        <v>17</v>
      </c>
      <c r="H474" t="s">
        <v>17</v>
      </c>
      <c r="I474" t="s">
        <v>17</v>
      </c>
      <c r="J474" t="s">
        <v>17</v>
      </c>
      <c r="K474" t="s">
        <v>17</v>
      </c>
      <c r="L474" s="4" t="s">
        <v>17</v>
      </c>
    </row>
    <row r="475" spans="1:12" x14ac:dyDescent="0.25">
      <c r="A475" t="s">
        <v>503</v>
      </c>
      <c r="B475" t="s">
        <v>32</v>
      </c>
      <c r="C475" t="s">
        <v>33</v>
      </c>
      <c r="D475">
        <v>0</v>
      </c>
      <c r="E475" t="s">
        <v>30</v>
      </c>
      <c r="F475" t="s">
        <v>16</v>
      </c>
      <c r="G475" t="s">
        <v>17</v>
      </c>
      <c r="H475" t="s">
        <v>17</v>
      </c>
      <c r="I475" t="s">
        <v>17</v>
      </c>
      <c r="J475" t="s">
        <v>17</v>
      </c>
      <c r="K475" t="s">
        <v>17</v>
      </c>
      <c r="L475" s="4" t="s">
        <v>17</v>
      </c>
    </row>
    <row r="476" spans="1:12" x14ac:dyDescent="0.25">
      <c r="A476" t="s">
        <v>504</v>
      </c>
      <c r="B476" t="s">
        <v>22</v>
      </c>
      <c r="C476" t="s">
        <v>14</v>
      </c>
      <c r="D476">
        <v>6</v>
      </c>
      <c r="E476" t="s">
        <v>15</v>
      </c>
      <c r="F476" t="s">
        <v>16</v>
      </c>
      <c r="G476" t="s">
        <v>17</v>
      </c>
      <c r="H476" t="s">
        <v>17</v>
      </c>
      <c r="I476" t="s">
        <v>17</v>
      </c>
      <c r="J476" t="s">
        <v>17</v>
      </c>
      <c r="K476" t="s">
        <v>17</v>
      </c>
      <c r="L476" s="4" t="s">
        <v>17</v>
      </c>
    </row>
    <row r="477" spans="1:12" x14ac:dyDescent="0.25">
      <c r="A477" t="s">
        <v>505</v>
      </c>
      <c r="B477" t="s">
        <v>32</v>
      </c>
      <c r="C477" t="s">
        <v>33</v>
      </c>
      <c r="D477">
        <v>5</v>
      </c>
      <c r="E477" t="s">
        <v>40</v>
      </c>
      <c r="F477" t="s">
        <v>16</v>
      </c>
      <c r="G477" t="s">
        <v>16</v>
      </c>
      <c r="H477" t="s">
        <v>17</v>
      </c>
      <c r="I477" t="s">
        <v>17</v>
      </c>
      <c r="J477" t="s">
        <v>17</v>
      </c>
      <c r="K477" t="s">
        <v>17</v>
      </c>
      <c r="L477" s="4" t="s">
        <v>17</v>
      </c>
    </row>
    <row r="478" spans="1:12" x14ac:dyDescent="0.25">
      <c r="A478" t="s">
        <v>506</v>
      </c>
      <c r="B478" t="s">
        <v>22</v>
      </c>
      <c r="C478" t="s">
        <v>14</v>
      </c>
      <c r="D478">
        <v>5</v>
      </c>
      <c r="E478" t="s">
        <v>30</v>
      </c>
      <c r="F478" t="s">
        <v>17</v>
      </c>
      <c r="G478" t="s">
        <v>17</v>
      </c>
      <c r="H478" t="s">
        <v>17</v>
      </c>
      <c r="I478" t="s">
        <v>17</v>
      </c>
      <c r="J478" t="s">
        <v>17</v>
      </c>
      <c r="K478" t="s">
        <v>17</v>
      </c>
      <c r="L478" s="4" t="s">
        <v>17</v>
      </c>
    </row>
    <row r="479" spans="1:12" x14ac:dyDescent="0.25">
      <c r="A479" t="s">
        <v>507</v>
      </c>
      <c r="B479" t="s">
        <v>22</v>
      </c>
      <c r="C479" t="s">
        <v>29</v>
      </c>
      <c r="D479">
        <v>6</v>
      </c>
      <c r="E479" t="s">
        <v>27</v>
      </c>
      <c r="F479" t="s">
        <v>16</v>
      </c>
      <c r="G479" t="s">
        <v>17</v>
      </c>
      <c r="H479" t="s">
        <v>17</v>
      </c>
      <c r="I479" t="s">
        <v>17</v>
      </c>
      <c r="J479" t="s">
        <v>17</v>
      </c>
      <c r="K479" t="s">
        <v>17</v>
      </c>
      <c r="L479" s="4" t="s">
        <v>17</v>
      </c>
    </row>
    <row r="480" spans="1:12" x14ac:dyDescent="0.25">
      <c r="A480" t="s">
        <v>508</v>
      </c>
      <c r="B480" t="s">
        <v>22</v>
      </c>
      <c r="C480" t="s">
        <v>19</v>
      </c>
      <c r="D480">
        <v>3</v>
      </c>
      <c r="E480" t="s">
        <v>23</v>
      </c>
      <c r="F480" t="s">
        <v>16</v>
      </c>
      <c r="G480" t="s">
        <v>16</v>
      </c>
      <c r="H480" t="s">
        <v>17</v>
      </c>
      <c r="I480" t="s">
        <v>17</v>
      </c>
      <c r="J480" t="s">
        <v>17</v>
      </c>
      <c r="K480" t="s">
        <v>17</v>
      </c>
      <c r="L480" s="4" t="s">
        <v>17</v>
      </c>
    </row>
    <row r="481" spans="1:12" x14ac:dyDescent="0.25">
      <c r="A481" t="s">
        <v>509</v>
      </c>
      <c r="B481" t="s">
        <v>22</v>
      </c>
      <c r="C481" t="s">
        <v>14</v>
      </c>
      <c r="D481">
        <v>1</v>
      </c>
      <c r="E481" t="s">
        <v>27</v>
      </c>
      <c r="F481" t="s">
        <v>16</v>
      </c>
      <c r="G481" t="s">
        <v>17</v>
      </c>
      <c r="H481" t="s">
        <v>17</v>
      </c>
      <c r="I481" t="s">
        <v>17</v>
      </c>
      <c r="J481" t="s">
        <v>17</v>
      </c>
      <c r="K481" t="s">
        <v>17</v>
      </c>
      <c r="L481" s="4" t="s">
        <v>17</v>
      </c>
    </row>
    <row r="482" spans="1:12" x14ac:dyDescent="0.25">
      <c r="A482" t="s">
        <v>510</v>
      </c>
      <c r="B482" t="s">
        <v>22</v>
      </c>
      <c r="C482" t="s">
        <v>33</v>
      </c>
      <c r="D482">
        <v>1</v>
      </c>
      <c r="E482" t="s">
        <v>23</v>
      </c>
      <c r="F482" t="s">
        <v>16</v>
      </c>
      <c r="G482" t="s">
        <v>16</v>
      </c>
      <c r="H482" t="s">
        <v>16</v>
      </c>
      <c r="I482" t="s">
        <v>16</v>
      </c>
      <c r="J482" t="s">
        <v>16</v>
      </c>
      <c r="K482" t="s">
        <v>16</v>
      </c>
      <c r="L482" s="4" t="s">
        <v>16</v>
      </c>
    </row>
    <row r="483" spans="1:12" x14ac:dyDescent="0.25">
      <c r="A483" t="s">
        <v>511</v>
      </c>
      <c r="B483" t="s">
        <v>25</v>
      </c>
      <c r="C483" t="s">
        <v>33</v>
      </c>
      <c r="D483">
        <v>5</v>
      </c>
      <c r="E483" t="s">
        <v>20</v>
      </c>
      <c r="F483" t="s">
        <v>17</v>
      </c>
      <c r="G483" t="s">
        <v>17</v>
      </c>
      <c r="H483" t="s">
        <v>17</v>
      </c>
      <c r="I483" t="s">
        <v>17</v>
      </c>
      <c r="J483" t="s">
        <v>17</v>
      </c>
      <c r="K483" t="s">
        <v>17</v>
      </c>
      <c r="L483" s="4" t="s">
        <v>17</v>
      </c>
    </row>
    <row r="484" spans="1:12" x14ac:dyDescent="0.25">
      <c r="A484" t="s">
        <v>512</v>
      </c>
      <c r="B484" t="s">
        <v>50</v>
      </c>
      <c r="C484" t="s">
        <v>29</v>
      </c>
      <c r="D484">
        <v>2</v>
      </c>
      <c r="E484" t="s">
        <v>30</v>
      </c>
      <c r="F484" t="s">
        <v>16</v>
      </c>
      <c r="G484" t="s">
        <v>16</v>
      </c>
      <c r="H484" t="s">
        <v>17</v>
      </c>
      <c r="I484" t="s">
        <v>17</v>
      </c>
      <c r="J484" t="s">
        <v>17</v>
      </c>
      <c r="K484" t="s">
        <v>17</v>
      </c>
      <c r="L484" s="4" t="s">
        <v>17</v>
      </c>
    </row>
    <row r="485" spans="1:12" x14ac:dyDescent="0.25">
      <c r="A485" t="s">
        <v>513</v>
      </c>
      <c r="B485" t="s">
        <v>32</v>
      </c>
      <c r="C485" t="s">
        <v>36</v>
      </c>
      <c r="D485">
        <v>1</v>
      </c>
      <c r="E485" t="s">
        <v>40</v>
      </c>
      <c r="F485" t="s">
        <v>16</v>
      </c>
      <c r="G485" t="s">
        <v>16</v>
      </c>
      <c r="H485" t="s">
        <v>17</v>
      </c>
      <c r="I485" t="s">
        <v>17</v>
      </c>
      <c r="J485" t="s">
        <v>17</v>
      </c>
      <c r="K485" t="s">
        <v>17</v>
      </c>
      <c r="L485" s="4" t="s">
        <v>17</v>
      </c>
    </row>
    <row r="486" spans="1:12" x14ac:dyDescent="0.25">
      <c r="A486" t="s">
        <v>514</v>
      </c>
      <c r="B486" t="s">
        <v>25</v>
      </c>
      <c r="C486" t="s">
        <v>14</v>
      </c>
      <c r="D486">
        <v>3</v>
      </c>
      <c r="E486" t="s">
        <v>20</v>
      </c>
      <c r="F486" t="s">
        <v>16</v>
      </c>
      <c r="G486" t="s">
        <v>17</v>
      </c>
      <c r="H486" t="s">
        <v>17</v>
      </c>
      <c r="I486" t="s">
        <v>17</v>
      </c>
      <c r="J486" t="s">
        <v>17</v>
      </c>
      <c r="K486" t="s">
        <v>17</v>
      </c>
      <c r="L486" s="4" t="s">
        <v>17</v>
      </c>
    </row>
    <row r="487" spans="1:12" x14ac:dyDescent="0.25">
      <c r="A487" t="s">
        <v>515</v>
      </c>
      <c r="B487" t="s">
        <v>22</v>
      </c>
      <c r="C487" t="s">
        <v>14</v>
      </c>
      <c r="D487">
        <v>1</v>
      </c>
      <c r="E487" t="s">
        <v>23</v>
      </c>
      <c r="F487" t="s">
        <v>16</v>
      </c>
      <c r="G487" t="s">
        <v>16</v>
      </c>
      <c r="H487" t="s">
        <v>17</v>
      </c>
      <c r="I487" t="s">
        <v>17</v>
      </c>
      <c r="J487" t="s">
        <v>17</v>
      </c>
      <c r="K487" t="s">
        <v>17</v>
      </c>
      <c r="L487" s="4" t="s">
        <v>17</v>
      </c>
    </row>
    <row r="488" spans="1:12" x14ac:dyDescent="0.25">
      <c r="A488" t="s">
        <v>516</v>
      </c>
      <c r="B488" t="s">
        <v>13</v>
      </c>
      <c r="C488" t="s">
        <v>29</v>
      </c>
      <c r="D488">
        <v>1</v>
      </c>
      <c r="E488" t="s">
        <v>20</v>
      </c>
      <c r="F488" t="s">
        <v>17</v>
      </c>
      <c r="G488" t="s">
        <v>17</v>
      </c>
      <c r="H488" t="s">
        <v>17</v>
      </c>
      <c r="I488" t="s">
        <v>17</v>
      </c>
      <c r="J488" t="s">
        <v>17</v>
      </c>
      <c r="K488" t="s">
        <v>17</v>
      </c>
      <c r="L488" s="4" t="s">
        <v>17</v>
      </c>
    </row>
    <row r="489" spans="1:12" x14ac:dyDescent="0.25">
      <c r="A489" t="s">
        <v>517</v>
      </c>
      <c r="B489" t="s">
        <v>25</v>
      </c>
      <c r="C489" t="s">
        <v>36</v>
      </c>
      <c r="D489">
        <v>6</v>
      </c>
      <c r="E489" t="s">
        <v>15</v>
      </c>
      <c r="F489" t="s">
        <v>16</v>
      </c>
      <c r="G489" t="s">
        <v>17</v>
      </c>
      <c r="H489" t="s">
        <v>17</v>
      </c>
      <c r="I489" t="s">
        <v>17</v>
      </c>
      <c r="J489" t="s">
        <v>17</v>
      </c>
      <c r="K489" t="s">
        <v>17</v>
      </c>
      <c r="L489" s="4" t="s">
        <v>17</v>
      </c>
    </row>
    <row r="490" spans="1:12" x14ac:dyDescent="0.25">
      <c r="A490" t="s">
        <v>518</v>
      </c>
      <c r="B490" t="s">
        <v>25</v>
      </c>
      <c r="C490" t="s">
        <v>29</v>
      </c>
      <c r="D490">
        <v>4</v>
      </c>
      <c r="E490" t="s">
        <v>40</v>
      </c>
      <c r="F490" t="s">
        <v>16</v>
      </c>
      <c r="G490" t="s">
        <v>16</v>
      </c>
      <c r="H490" t="s">
        <v>16</v>
      </c>
      <c r="I490" t="s">
        <v>16</v>
      </c>
      <c r="J490" t="s">
        <v>17</v>
      </c>
      <c r="K490" t="s">
        <v>17</v>
      </c>
      <c r="L490" s="4" t="s">
        <v>17</v>
      </c>
    </row>
    <row r="491" spans="1:12" x14ac:dyDescent="0.25">
      <c r="A491" t="s">
        <v>519</v>
      </c>
      <c r="B491" t="s">
        <v>25</v>
      </c>
      <c r="C491" t="s">
        <v>29</v>
      </c>
      <c r="D491">
        <v>3</v>
      </c>
      <c r="E491" t="s">
        <v>20</v>
      </c>
      <c r="F491" t="s">
        <v>16</v>
      </c>
      <c r="G491" t="s">
        <v>16</v>
      </c>
      <c r="H491" t="s">
        <v>16</v>
      </c>
      <c r="I491" t="s">
        <v>16</v>
      </c>
      <c r="J491" t="s">
        <v>16</v>
      </c>
      <c r="K491" t="s">
        <v>16</v>
      </c>
      <c r="L491" s="4" t="s">
        <v>16</v>
      </c>
    </row>
    <row r="492" spans="1:12" x14ac:dyDescent="0.25">
      <c r="A492" t="s">
        <v>520</v>
      </c>
      <c r="B492" t="s">
        <v>50</v>
      </c>
      <c r="C492" t="s">
        <v>14</v>
      </c>
      <c r="D492">
        <v>1</v>
      </c>
      <c r="E492" t="s">
        <v>27</v>
      </c>
      <c r="F492" t="s">
        <v>16</v>
      </c>
      <c r="G492" t="s">
        <v>17</v>
      </c>
      <c r="H492" t="s">
        <v>17</v>
      </c>
      <c r="I492" t="s">
        <v>17</v>
      </c>
      <c r="J492" t="s">
        <v>17</v>
      </c>
      <c r="K492" t="s">
        <v>17</v>
      </c>
      <c r="L492" s="4" t="s">
        <v>17</v>
      </c>
    </row>
    <row r="493" spans="1:12" x14ac:dyDescent="0.25">
      <c r="A493" t="s">
        <v>521</v>
      </c>
      <c r="B493" t="s">
        <v>25</v>
      </c>
      <c r="C493" t="s">
        <v>36</v>
      </c>
      <c r="D493">
        <v>0</v>
      </c>
      <c r="E493" t="s">
        <v>15</v>
      </c>
      <c r="F493" t="s">
        <v>16</v>
      </c>
      <c r="G493" t="s">
        <v>17</v>
      </c>
      <c r="H493" t="s">
        <v>17</v>
      </c>
      <c r="I493" t="s">
        <v>17</v>
      </c>
      <c r="J493" t="s">
        <v>17</v>
      </c>
      <c r="K493" t="s">
        <v>17</v>
      </c>
      <c r="L493" s="4" t="s">
        <v>17</v>
      </c>
    </row>
    <row r="494" spans="1:12" x14ac:dyDescent="0.25">
      <c r="A494" t="s">
        <v>522</v>
      </c>
      <c r="B494" t="s">
        <v>25</v>
      </c>
      <c r="C494" t="s">
        <v>29</v>
      </c>
      <c r="D494">
        <v>6</v>
      </c>
      <c r="E494" t="s">
        <v>27</v>
      </c>
      <c r="F494" t="s">
        <v>17</v>
      </c>
      <c r="G494" t="s">
        <v>17</v>
      </c>
      <c r="H494" t="s">
        <v>17</v>
      </c>
      <c r="I494" t="s">
        <v>17</v>
      </c>
      <c r="J494" t="s">
        <v>17</v>
      </c>
      <c r="K494" t="s">
        <v>17</v>
      </c>
      <c r="L494" s="4" t="s">
        <v>17</v>
      </c>
    </row>
    <row r="495" spans="1:12" x14ac:dyDescent="0.25">
      <c r="A495" t="s">
        <v>523</v>
      </c>
      <c r="B495" t="s">
        <v>32</v>
      </c>
      <c r="C495" t="s">
        <v>19</v>
      </c>
      <c r="D495">
        <v>3</v>
      </c>
      <c r="E495" t="s">
        <v>20</v>
      </c>
      <c r="F495" t="s">
        <v>16</v>
      </c>
      <c r="G495" t="s">
        <v>16</v>
      </c>
      <c r="H495" t="s">
        <v>16</v>
      </c>
      <c r="I495" t="s">
        <v>16</v>
      </c>
      <c r="J495" t="s">
        <v>17</v>
      </c>
      <c r="K495" t="s">
        <v>17</v>
      </c>
      <c r="L495" s="4" t="s">
        <v>17</v>
      </c>
    </row>
    <row r="496" spans="1:12" x14ac:dyDescent="0.25">
      <c r="A496" t="s">
        <v>524</v>
      </c>
      <c r="B496" t="s">
        <v>25</v>
      </c>
      <c r="C496" t="s">
        <v>19</v>
      </c>
      <c r="D496">
        <v>5</v>
      </c>
      <c r="E496" t="s">
        <v>27</v>
      </c>
      <c r="F496" t="s">
        <v>16</v>
      </c>
      <c r="G496" t="s">
        <v>17</v>
      </c>
      <c r="H496" t="s">
        <v>17</v>
      </c>
      <c r="I496" t="s">
        <v>17</v>
      </c>
      <c r="J496" t="s">
        <v>17</v>
      </c>
      <c r="K496" t="s">
        <v>17</v>
      </c>
      <c r="L496" s="4" t="s">
        <v>17</v>
      </c>
    </row>
    <row r="497" spans="1:12" x14ac:dyDescent="0.25">
      <c r="A497" t="s">
        <v>525</v>
      </c>
      <c r="B497" t="s">
        <v>13</v>
      </c>
      <c r="C497" t="s">
        <v>19</v>
      </c>
      <c r="D497">
        <v>6</v>
      </c>
      <c r="E497" t="s">
        <v>27</v>
      </c>
      <c r="F497" t="s">
        <v>16</v>
      </c>
      <c r="G497" t="s">
        <v>17</v>
      </c>
      <c r="H497" t="s">
        <v>17</v>
      </c>
      <c r="I497" t="s">
        <v>17</v>
      </c>
      <c r="J497" t="s">
        <v>17</v>
      </c>
      <c r="K497" t="s">
        <v>17</v>
      </c>
      <c r="L497" s="4" t="s">
        <v>17</v>
      </c>
    </row>
    <row r="498" spans="1:12" x14ac:dyDescent="0.25">
      <c r="A498" t="s">
        <v>526</v>
      </c>
      <c r="B498" t="s">
        <v>22</v>
      </c>
      <c r="C498" t="s">
        <v>36</v>
      </c>
      <c r="D498">
        <v>5</v>
      </c>
      <c r="E498" t="s">
        <v>27</v>
      </c>
      <c r="F498" t="s">
        <v>16</v>
      </c>
      <c r="G498" t="s">
        <v>17</v>
      </c>
      <c r="H498" t="s">
        <v>17</v>
      </c>
      <c r="I498" t="s">
        <v>17</v>
      </c>
      <c r="J498" t="s">
        <v>17</v>
      </c>
      <c r="K498" t="s">
        <v>17</v>
      </c>
      <c r="L498" s="4" t="s">
        <v>17</v>
      </c>
    </row>
    <row r="499" spans="1:12" x14ac:dyDescent="0.25">
      <c r="A499" t="s">
        <v>527</v>
      </c>
      <c r="B499" t="s">
        <v>50</v>
      </c>
      <c r="C499" t="s">
        <v>19</v>
      </c>
      <c r="D499">
        <v>3</v>
      </c>
      <c r="E499" t="s">
        <v>20</v>
      </c>
      <c r="F499" t="s">
        <v>16</v>
      </c>
      <c r="G499" t="s">
        <v>17</v>
      </c>
      <c r="H499" t="s">
        <v>17</v>
      </c>
      <c r="I499" t="s">
        <v>17</v>
      </c>
      <c r="J499" t="s">
        <v>17</v>
      </c>
      <c r="K499" t="s">
        <v>17</v>
      </c>
      <c r="L499" s="4" t="s">
        <v>17</v>
      </c>
    </row>
    <row r="500" spans="1:12" x14ac:dyDescent="0.25">
      <c r="A500" t="s">
        <v>528</v>
      </c>
      <c r="B500" t="s">
        <v>50</v>
      </c>
      <c r="C500" t="s">
        <v>19</v>
      </c>
      <c r="D500">
        <v>1</v>
      </c>
      <c r="E500" t="s">
        <v>23</v>
      </c>
      <c r="F500" t="s">
        <v>16</v>
      </c>
      <c r="G500" t="s">
        <v>17</v>
      </c>
      <c r="H500" t="s">
        <v>17</v>
      </c>
      <c r="I500" t="s">
        <v>17</v>
      </c>
      <c r="J500" t="s">
        <v>17</v>
      </c>
      <c r="K500" t="s">
        <v>17</v>
      </c>
      <c r="L500" s="4" t="s">
        <v>17</v>
      </c>
    </row>
    <row r="501" spans="1:12" x14ac:dyDescent="0.25">
      <c r="A501" t="s">
        <v>528</v>
      </c>
      <c r="B501" t="s">
        <v>22</v>
      </c>
      <c r="C501" t="s">
        <v>29</v>
      </c>
      <c r="D501">
        <v>1</v>
      </c>
      <c r="E501" t="s">
        <v>27</v>
      </c>
      <c r="F501" t="s">
        <v>17</v>
      </c>
      <c r="G501" t="s">
        <v>17</v>
      </c>
      <c r="H501" t="s">
        <v>17</v>
      </c>
      <c r="I501" t="s">
        <v>17</v>
      </c>
      <c r="J501" t="s">
        <v>17</v>
      </c>
      <c r="K501" t="s">
        <v>17</v>
      </c>
      <c r="L501" s="4" t="s">
        <v>17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7"/>
  <sheetViews>
    <sheetView showGridLines="0" tabSelected="1" topLeftCell="B14" zoomScale="101" zoomScaleNormal="85" workbookViewId="0">
      <selection activeCell="M10" sqref="M10"/>
    </sheetView>
  </sheetViews>
  <sheetFormatPr defaultRowHeight="15" x14ac:dyDescent="0.25"/>
  <cols>
    <col min="1" max="1" width="17" customWidth="1"/>
    <col min="2" max="2" width="12.28515625" customWidth="1"/>
  </cols>
  <sheetData>
    <row r="1" spans="1:18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ht="26.25" x14ac:dyDescent="0.4">
      <c r="A3" s="5"/>
      <c r="B3" s="5"/>
      <c r="C3" s="5"/>
      <c r="D3" s="5"/>
      <c r="E3" s="5"/>
      <c r="F3" s="5"/>
      <c r="G3" s="5"/>
      <c r="H3" s="5"/>
      <c r="I3" s="16"/>
      <c r="J3" s="15"/>
      <c r="K3" s="5"/>
      <c r="L3" s="5"/>
      <c r="M3" s="5"/>
      <c r="N3" s="5"/>
      <c r="O3" s="5"/>
      <c r="P3" s="5"/>
      <c r="Q3" s="5"/>
      <c r="R3" s="5"/>
    </row>
    <row r="4" spans="1:18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18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spans="1:18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spans="1:18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spans="1:18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pans="1:18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1:18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spans="1:18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spans="1:18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spans="1:18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1:18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spans="1:18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spans="1:18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 spans="1:18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spans="1:18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spans="1:18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spans="1:18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spans="1:18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spans="1:18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spans="1:18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 spans="1:18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 spans="1:18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spans="1:18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 spans="1:18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spans="1:18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 spans="1:18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 spans="1:18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 spans="1:18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 spans="1:18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 spans="1:18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 spans="1:18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</row>
    <row r="36" spans="1:18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</row>
    <row r="37" spans="1:18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"/>
  <sheetViews>
    <sheetView zoomScale="101" workbookViewId="0">
      <selection sqref="A1:D6"/>
    </sheetView>
  </sheetViews>
  <sheetFormatPr defaultRowHeight="15" x14ac:dyDescent="0.25"/>
  <cols>
    <col min="1" max="1" width="18.85546875" customWidth="1"/>
    <col min="2" max="2" width="15.7109375" customWidth="1"/>
    <col min="3" max="3" width="14.7109375" customWidth="1"/>
    <col min="4" max="4" width="15.7109375" customWidth="1"/>
  </cols>
  <sheetData>
    <row r="1" spans="1:7" x14ac:dyDescent="0.25">
      <c r="A1" s="14" t="s">
        <v>1</v>
      </c>
      <c r="B1" s="14" t="s">
        <v>531</v>
      </c>
      <c r="C1" s="14" t="s">
        <v>11</v>
      </c>
      <c r="D1" s="14" t="s">
        <v>532</v>
      </c>
    </row>
    <row r="2" spans="1:7" x14ac:dyDescent="0.25">
      <c r="A2" s="14" t="s">
        <v>50</v>
      </c>
      <c r="B2" s="14">
        <v>48</v>
      </c>
      <c r="C2" s="14">
        <v>4</v>
      </c>
      <c r="D2" s="14">
        <v>8.3000000000000007</v>
      </c>
    </row>
    <row r="3" spans="1:7" x14ac:dyDescent="0.25">
      <c r="A3" s="14" t="s">
        <v>32</v>
      </c>
      <c r="B3" s="14">
        <v>138</v>
      </c>
      <c r="C3" s="14">
        <v>16</v>
      </c>
      <c r="D3" s="14">
        <v>11.6</v>
      </c>
    </row>
    <row r="4" spans="1:7" x14ac:dyDescent="0.25">
      <c r="A4" s="14" t="s">
        <v>22</v>
      </c>
      <c r="B4" s="14">
        <v>164</v>
      </c>
      <c r="C4" s="14">
        <v>11</v>
      </c>
      <c r="D4" s="14">
        <v>6.7</v>
      </c>
    </row>
    <row r="5" spans="1:7" x14ac:dyDescent="0.25">
      <c r="A5" s="14" t="s">
        <v>13</v>
      </c>
      <c r="B5" s="14">
        <v>77</v>
      </c>
      <c r="C5" s="14">
        <v>2</v>
      </c>
      <c r="D5" s="14">
        <v>2.6</v>
      </c>
    </row>
    <row r="6" spans="1:7" x14ac:dyDescent="0.25">
      <c r="A6" s="14" t="s">
        <v>25</v>
      </c>
      <c r="B6" s="14">
        <v>73</v>
      </c>
      <c r="C6" s="14">
        <v>9</v>
      </c>
      <c r="D6" s="14">
        <v>12.3</v>
      </c>
    </row>
    <row r="8" spans="1:7" x14ac:dyDescent="0.25">
      <c r="A8" s="6" t="s">
        <v>529</v>
      </c>
      <c r="B8" s="6" t="s">
        <v>530</v>
      </c>
      <c r="C8" s="5" t="s">
        <v>541</v>
      </c>
    </row>
    <row r="9" spans="1:7" x14ac:dyDescent="0.25">
      <c r="A9" s="7" t="s">
        <v>533</v>
      </c>
      <c r="B9" s="8">
        <v>500</v>
      </c>
      <c r="C9" s="5"/>
    </row>
    <row r="10" spans="1:7" x14ac:dyDescent="0.25">
      <c r="A10" s="6" t="s">
        <v>5</v>
      </c>
      <c r="B10" s="8">
        <f>COUNTIF(Candidate_Data!F1:F501,"Yes")</f>
        <v>380</v>
      </c>
      <c r="C10" s="5">
        <f>380/500*100</f>
        <v>76</v>
      </c>
    </row>
    <row r="11" spans="1:7" x14ac:dyDescent="0.25">
      <c r="A11" s="6" t="s">
        <v>6</v>
      </c>
      <c r="B11" s="8">
        <f>COUNTIF(Candidate_Data!G1:G501,"Yes")</f>
        <v>204</v>
      </c>
      <c r="C11" s="14">
        <f>204/380*100</f>
        <v>53.684210526315788</v>
      </c>
      <c r="G11" s="13" t="s">
        <v>539</v>
      </c>
    </row>
    <row r="12" spans="1:7" x14ac:dyDescent="0.25">
      <c r="A12" s="6" t="s">
        <v>7</v>
      </c>
      <c r="B12" s="8">
        <f>COUNTIF(Candidate_Data!H1:H501,"yes")</f>
        <v>123</v>
      </c>
      <c r="C12" s="14">
        <f>123/204*100</f>
        <v>60.294117647058819</v>
      </c>
    </row>
    <row r="13" spans="1:7" x14ac:dyDescent="0.25">
      <c r="A13" s="6" t="s">
        <v>8</v>
      </c>
      <c r="B13" s="8">
        <f>COUNTIF(Candidate_Data!I1:I501,"Yes")</f>
        <v>59</v>
      </c>
      <c r="C13" s="14">
        <f>59/123*100</f>
        <v>47.967479674796749</v>
      </c>
    </row>
    <row r="14" spans="1:7" x14ac:dyDescent="0.25">
      <c r="A14" s="6" t="s">
        <v>9</v>
      </c>
      <c r="B14" s="8">
        <f>COUNTIF(Candidate_Data!J1:J501,"yes")</f>
        <v>53</v>
      </c>
      <c r="C14" s="14">
        <f>53/59*100</f>
        <v>89.830508474576277</v>
      </c>
    </row>
    <row r="15" spans="1:7" x14ac:dyDescent="0.25">
      <c r="A15" s="6" t="s">
        <v>10</v>
      </c>
      <c r="B15" s="8">
        <f>COUNTIF(Candidate_Data!K1:K501,"Yes")</f>
        <v>46</v>
      </c>
      <c r="C15" s="14">
        <f>46/53*100</f>
        <v>86.79245283018868</v>
      </c>
    </row>
    <row r="16" spans="1:7" x14ac:dyDescent="0.25">
      <c r="A16" s="6" t="s">
        <v>11</v>
      </c>
      <c r="B16" s="8">
        <f>COUNTIF(Candidate_Data!L2:L501,"yes")</f>
        <v>42</v>
      </c>
      <c r="C16" s="14">
        <f>42/46*100</f>
        <v>91.304347826086953</v>
      </c>
    </row>
    <row r="17" spans="1:8" x14ac:dyDescent="0.25">
      <c r="A17" s="5"/>
      <c r="B17" s="5"/>
      <c r="C17" s="5"/>
    </row>
    <row r="18" spans="1:8" x14ac:dyDescent="0.25">
      <c r="A18" s="5"/>
      <c r="B18" s="5"/>
      <c r="C18" s="5"/>
      <c r="F18" s="6" t="s">
        <v>529</v>
      </c>
      <c r="G18" s="6" t="s">
        <v>530</v>
      </c>
      <c r="H18" s="6" t="s">
        <v>540</v>
      </c>
    </row>
    <row r="19" spans="1:8" x14ac:dyDescent="0.25">
      <c r="A19" s="5"/>
      <c r="B19" s="5"/>
      <c r="C19" s="5"/>
      <c r="F19" s="7" t="s">
        <v>533</v>
      </c>
      <c r="G19" s="8">
        <v>500</v>
      </c>
      <c r="H19" s="6"/>
    </row>
    <row r="20" spans="1:8" x14ac:dyDescent="0.25">
      <c r="A20" s="5"/>
      <c r="B20" s="5"/>
      <c r="C20" s="5"/>
      <c r="F20" s="6" t="s">
        <v>5</v>
      </c>
      <c r="G20" s="8">
        <f>COUNTIF(Candidate_Data!F18:F518,"Yes")</f>
        <v>367</v>
      </c>
      <c r="H20" s="6"/>
    </row>
    <row r="21" spans="1:8" x14ac:dyDescent="0.25">
      <c r="A21" s="5"/>
      <c r="B21" s="5"/>
      <c r="C21" s="5"/>
      <c r="F21" s="6" t="s">
        <v>6</v>
      </c>
      <c r="G21" s="8">
        <f>COUNTIF(Candidate_Data!G18:G518,"Yes")</f>
        <v>198</v>
      </c>
      <c r="H21" s="6"/>
    </row>
    <row r="22" spans="1:8" x14ac:dyDescent="0.25">
      <c r="A22" s="5"/>
      <c r="B22" s="5"/>
      <c r="C22" s="5"/>
      <c r="F22" s="6" t="s">
        <v>7</v>
      </c>
      <c r="G22" s="8">
        <f>COUNTIF(Candidate_Data!H18:H518,"yes")</f>
        <v>118</v>
      </c>
      <c r="H22" s="6"/>
    </row>
    <row r="23" spans="1:8" x14ac:dyDescent="0.25">
      <c r="A23" s="6" t="s">
        <v>529</v>
      </c>
      <c r="B23" s="6" t="s">
        <v>534</v>
      </c>
      <c r="C23" s="5"/>
      <c r="F23" s="6" t="s">
        <v>8</v>
      </c>
      <c r="G23" s="8">
        <f>COUNTIF(Candidate_Data!I18:I518,"Yes")</f>
        <v>57</v>
      </c>
      <c r="H23" s="6"/>
    </row>
    <row r="24" spans="1:8" x14ac:dyDescent="0.25">
      <c r="A24" s="6" t="s">
        <v>5</v>
      </c>
      <c r="B24" s="6">
        <f>B9-B10</f>
        <v>120</v>
      </c>
      <c r="C24" s="5"/>
      <c r="F24" s="6" t="s">
        <v>9</v>
      </c>
      <c r="G24" s="8">
        <f>COUNTIF(Candidate_Data!J18:J518,"yes")</f>
        <v>51</v>
      </c>
      <c r="H24" s="6"/>
    </row>
    <row r="25" spans="1:8" x14ac:dyDescent="0.25">
      <c r="A25" s="6" t="s">
        <v>6</v>
      </c>
      <c r="B25" s="6">
        <f>B10-B11</f>
        <v>176</v>
      </c>
      <c r="C25" s="5"/>
      <c r="F25" s="6" t="s">
        <v>10</v>
      </c>
      <c r="G25" s="8">
        <f>COUNTIF(Candidate_Data!K18:K518,"Yes")</f>
        <v>45</v>
      </c>
      <c r="H25" s="6"/>
    </row>
    <row r="26" spans="1:8" x14ac:dyDescent="0.25">
      <c r="A26" s="6" t="s">
        <v>7</v>
      </c>
      <c r="B26" s="6">
        <f>B11-B12</f>
        <v>81</v>
      </c>
      <c r="C26" s="5"/>
      <c r="F26" s="9" t="s">
        <v>11</v>
      </c>
      <c r="G26" s="8">
        <f>COUNTIF(Candidate_Data!L19:L518,"yes")</f>
        <v>41</v>
      </c>
      <c r="H26" s="6"/>
    </row>
    <row r="27" spans="1:8" x14ac:dyDescent="0.25">
      <c r="A27" s="6" t="s">
        <v>8</v>
      </c>
      <c r="B27" s="6">
        <f>B12-B13</f>
        <v>64</v>
      </c>
      <c r="C27" s="5"/>
    </row>
    <row r="28" spans="1:8" x14ac:dyDescent="0.25">
      <c r="A28" s="6" t="s">
        <v>9</v>
      </c>
      <c r="B28" s="6">
        <f>B13-B14</f>
        <v>6</v>
      </c>
      <c r="C28" s="5"/>
    </row>
    <row r="29" spans="1:8" x14ac:dyDescent="0.25">
      <c r="A29" s="6" t="s">
        <v>10</v>
      </c>
      <c r="B29" s="6">
        <f>B14-B15</f>
        <v>7</v>
      </c>
      <c r="C29" s="5"/>
    </row>
    <row r="30" spans="1:8" x14ac:dyDescent="0.25">
      <c r="A30" s="6" t="s">
        <v>11</v>
      </c>
      <c r="B30" s="6">
        <f>B15-B16</f>
        <v>4</v>
      </c>
      <c r="C30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Candidate_Data</vt:lpstr>
      <vt:lpstr>Funnel_Summary</vt:lpstr>
      <vt:lpstr>Source_Analysis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Mohd Shahrukh</cp:lastModifiedBy>
  <dcterms:created xsi:type="dcterms:W3CDTF">2026-09-22T07:21:27Z</dcterms:created>
  <dcterms:modified xsi:type="dcterms:W3CDTF">2026-09-23T15:41:04Z</dcterms:modified>
</cp:coreProperties>
</file>